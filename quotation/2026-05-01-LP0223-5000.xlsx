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_(&quot;$&quot;* #,##0.00_);_(&quot;$&quot;* \(#,##0.00\);_(&quot;$&quot;* &quot;-&quot;??_);_(@_)"/>
    <numFmt numFmtId="172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0" fontId="26" fillId="0" borderId="12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1" fontId="19" fillId="2" borderId="5" applyAlignment="1" pivotButton="0" quotePrefix="0" xfId="0">
      <alignment horizontal="center" vertical="center"/>
    </xf>
    <xf numFmtId="171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2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19" fillId="2" borderId="5" applyAlignment="1" pivotButton="0" quotePrefix="0" xfId="0">
      <alignment horizontal="center" vertical="center"/>
    </xf>
    <xf numFmtId="171" fontId="19" fillId="2" borderId="2" applyAlignment="1" pivotButton="0" quotePrefix="0" xfId="0">
      <alignment horizontal="center" vertical="center"/>
    </xf>
    <xf numFmtId="172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H15" sqref="H1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LP0223</t>
        </is>
      </c>
      <c r="C2" s="40" t="inlineStr">
        <is>
          <t>Portable Waterproof Foldable Dry Bags, Custom Logo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>
        <v>5000</v>
      </c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>
        <v>1.86</v>
      </c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n">
        <v>54</v>
      </c>
      <c r="C9" s="40" t="n">
        <v>30</v>
      </c>
      <c r="D9" s="40" t="n">
        <v>38</v>
      </c>
      <c r="E9" s="40" t="n">
        <v>10</v>
      </c>
      <c r="F9" s="40" t="n">
        <v>160</v>
      </c>
      <c r="G9" s="91">
        <f>IFERROR(E9/F9*100,0)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n">
        <v>8</v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75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MAX(B16,$G9)</f>
        <v/>
      </c>
      <c r="C17" s="89">
        <f>MAX(C16,$G9)</f>
        <v/>
      </c>
      <c r="D17" s="95">
        <f>MAX(D16,$G9)</f>
        <v/>
      </c>
      <c r="E17" s="63" t="inlineStr">
        <is>
          <t>Net Price:</t>
        </is>
      </c>
      <c r="F17" s="77">
        <f>IF(B7&lt;&gt;"","$ "&amp;B7&amp;" /ea","")</f>
        <v/>
      </c>
      <c r="G17" s="77">
        <f>IF(C7&lt;&gt;"","$ "&amp;C7&amp;" /ea","")</f>
        <v/>
      </c>
      <c r="H17" s="77">
        <f>IF(D7&lt;&gt;"","$ "&amp;D7&amp;" /ea","")</f>
        <v/>
      </c>
      <c r="I17" s="70">
        <f>IF(E7&lt;&gt;"","$ "&amp;E7&amp;" /ea","")</f>
        <v/>
      </c>
      <c r="J17" s="77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77">
        <f>IF(B4&lt;&gt;"",($B$23+B$7)*B$4,"")</f>
        <v/>
      </c>
      <c r="G23" s="77">
        <f>IF(C4&lt;&gt;"",($B$23+C$7)*C$4,"")</f>
        <v/>
      </c>
      <c r="H23" s="77">
        <f>IF(D4&lt;&gt;"",($B$23+D$7)*D$4,"")</f>
        <v/>
      </c>
      <c r="I23" s="77">
        <f>IF(E4&lt;&gt;"",($B$23+E$7)*E$4,"")</f>
        <v/>
      </c>
      <c r="J23" s="77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77">
        <f>IF(B4&lt;&gt;"",($C$23+B$7)*B$4,"")</f>
        <v/>
      </c>
      <c r="G24" s="77">
        <f>IF(C4&lt;&gt;"",($C$23+C$7)*C$4,"")</f>
        <v/>
      </c>
      <c r="H24" s="77">
        <f>IF(D4&lt;&gt;"",($C$23+D$7)*D$4,"")</f>
        <v/>
      </c>
      <c r="I24" s="77">
        <f>IF(E4&lt;&gt;"",($C$23+E$7)*E$4,"")</f>
        <v/>
      </c>
      <c r="J24" s="77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0">
        <f>B23+$B7</f>
        <v/>
      </c>
      <c r="C25" s="100">
        <f>C23+$B7</f>
        <v/>
      </c>
      <c r="D25" s="101">
        <f>D23+$B7</f>
        <v/>
      </c>
      <c r="E25" s="63">
        <f>IF(AND(F14,G14,H14),"Total Cost(Ocean)","")</f>
        <v/>
      </c>
      <c r="F25" s="77">
        <f>IF(B4&lt;&gt;"",($D$23+B$7)*B$4,"")</f>
        <v/>
      </c>
      <c r="G25" s="77">
        <f>IF(C4&lt;&gt;"",($D$23+C$7)*C$4,"")</f>
        <v/>
      </c>
      <c r="H25" s="77">
        <f>IF(D4&lt;&gt;"",($D$23+D$7)*D$4,"")</f>
        <v/>
      </c>
      <c r="I25" s="77">
        <f>IF(E4&lt;&gt;"",($D$23+E$7)*E$4,"")</f>
        <v/>
      </c>
      <c r="J25" s="77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0">
        <f>(B23+$B7-B21)*$B4</f>
        <v/>
      </c>
      <c r="C26" s="100">
        <f>(C23+$B7-C21)*$B4</f>
        <v/>
      </c>
      <c r="D26" s="100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22" customHeight="1" s="87">
      <c r="A32" s="59" t="inlineStr">
        <is>
          <t>体重倍数：</t>
        </is>
      </c>
      <c r="B32" s="59" t="inlineStr">
        <is>
          <t>参考运费：</t>
        </is>
      </c>
      <c r="C32" s="59" t="inlineStr">
        <is>
          <t>实际运费：</t>
        </is>
      </c>
      <c r="D32" s="59" t="inlineStr">
        <is>
          <t>黄色区域：</t>
        </is>
      </c>
      <c r="E32" s="59" t="inlineStr">
        <is>
          <t>运费膨胀系数：</t>
        </is>
      </c>
      <c r="F32" s="59" t="inlineStr">
        <is>
          <t>其他固定费用：</t>
        </is>
      </c>
      <c r="G32" s="59" t="inlineStr">
        <is>
          <t>小货：</t>
        </is>
      </c>
      <c r="N32" s="78" t="n"/>
    </row>
    <row r="33" ht="22" customHeight="1" s="87">
      <c r="A33" s="83" t="inlineStr">
        <is>
          <t>红色 - 严重抛货
黄色 - 抛货
绿色 - 非抛货</t>
        </is>
      </c>
      <c r="B33" s="83" t="inlineStr">
        <is>
          <t>根据目标利润率公式计算得到的参考运费</t>
        </is>
      </c>
      <c r="C33" s="83" t="inlineStr">
        <is>
          <t>实际给客户报给的运费，毛利以实际运费来计算</t>
        </is>
      </c>
      <c r="D33" s="83" t="inlineStr">
        <is>
          <t>为可以填写的区域</t>
        </is>
      </c>
      <c r="E33" s="83" t="inlineStr">
        <is>
          <t>运费额外乘以的系数，避免货代公司装箱时会有重量体积膨胀，若有运费折扣时也可以方便计算折扣</t>
        </is>
      </c>
      <c r="F33" s="83" t="inlineStr">
        <is>
          <t>例如开模费/打木架费等不根据商品数量变动而变化的固定成本</t>
        </is>
      </c>
      <c r="G33" s="84" t="inlineStr">
        <is>
          <t>客户需求量下方的计费重量如果低于15kg（会亮黄色指示箭头）则为小货，注意快递和空派的运费单价需手动调整</t>
        </is>
      </c>
      <c r="H33" s="102" t="n"/>
      <c r="I33" s="102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3" t="inlineStr">
        <is>
          <t>上海UPS小货价格（US）（3-5）左右签收</t>
        </is>
      </c>
      <c r="C1" s="29" t="n"/>
      <c r="D1" s="3" t="n"/>
    </row>
    <row r="2" ht="21" customHeight="1" s="87">
      <c r="A2" s="104" t="inlineStr">
        <is>
          <t>国家</t>
        </is>
      </c>
      <c r="B2" s="105" t="inlineStr">
        <is>
          <t>美国</t>
        </is>
      </c>
      <c r="C2" s="32" t="inlineStr">
        <is>
          <t>单价</t>
        </is>
      </c>
    </row>
    <row r="3" ht="19" customHeight="1" s="87">
      <c r="A3" s="106" t="n">
        <v>0.5</v>
      </c>
      <c r="B3" s="34" t="n">
        <v>160</v>
      </c>
      <c r="C3" s="32">
        <f>ROUND(B3/A3,0)</f>
        <v/>
      </c>
    </row>
    <row r="4" ht="19" customHeight="1" s="87">
      <c r="A4" s="106" t="n">
        <v>1</v>
      </c>
      <c r="B4" s="34" t="n">
        <v>210</v>
      </c>
      <c r="C4" s="32">
        <f>ROUND(B4/A4,0)</f>
        <v/>
      </c>
    </row>
    <row r="5" ht="19" customHeight="1" s="87">
      <c r="A5" s="106" t="n">
        <v>0.5</v>
      </c>
      <c r="B5" s="34" t="n">
        <v>180</v>
      </c>
      <c r="C5" s="32">
        <f>ROUND(B5/A5,0)</f>
        <v/>
      </c>
    </row>
    <row r="6" ht="19" customHeight="1" s="87">
      <c r="A6" s="106" t="n">
        <v>1</v>
      </c>
      <c r="B6" s="34" t="n">
        <v>210</v>
      </c>
      <c r="C6" s="32">
        <f>ROUND(B6/A6,0)</f>
        <v/>
      </c>
    </row>
    <row r="7" ht="19" customHeight="1" s="87">
      <c r="A7" s="106" t="n">
        <v>1.5</v>
      </c>
      <c r="B7" s="34" t="n">
        <v>240</v>
      </c>
      <c r="C7" s="32">
        <f>ROUND(B7/A7,0)</f>
        <v/>
      </c>
    </row>
    <row r="8" ht="19" customHeight="1" s="87">
      <c r="A8" s="106" t="n">
        <v>2</v>
      </c>
      <c r="B8" s="34" t="n">
        <v>250</v>
      </c>
      <c r="C8" s="32">
        <f>ROUND(B8/A8,0)</f>
        <v/>
      </c>
    </row>
    <row r="9" ht="19" customHeight="1" s="87">
      <c r="A9" s="106" t="n">
        <v>2.5</v>
      </c>
      <c r="B9" s="34" t="n">
        <v>260</v>
      </c>
      <c r="C9" s="32">
        <f>ROUND(B9/A9,0)</f>
        <v/>
      </c>
    </row>
    <row r="10" ht="19" customHeight="1" s="87">
      <c r="A10" s="106" t="n">
        <v>3</v>
      </c>
      <c r="B10" s="34" t="n">
        <v>290</v>
      </c>
      <c r="C10" s="32">
        <f>ROUND(B10/A10,0)</f>
        <v/>
      </c>
    </row>
    <row r="11" ht="19" customHeight="1" s="87">
      <c r="A11" s="106" t="n">
        <v>3.5</v>
      </c>
      <c r="B11" s="34" t="n">
        <v>320</v>
      </c>
      <c r="C11" s="32">
        <f>ROUND(B11/A11,0)</f>
        <v/>
      </c>
    </row>
    <row r="12" ht="19" customHeight="1" s="87">
      <c r="A12" s="106" t="n">
        <v>4</v>
      </c>
      <c r="B12" s="34" t="n">
        <v>360</v>
      </c>
      <c r="C12" s="32">
        <f>ROUND(B12/A12,0)</f>
        <v/>
      </c>
    </row>
    <row r="13" ht="19" customHeight="1" s="87">
      <c r="A13" s="106" t="n">
        <v>4.5</v>
      </c>
      <c r="B13" s="34" t="n">
        <v>380</v>
      </c>
      <c r="C13" s="32">
        <f>ROUND(B13/A13,0)</f>
        <v/>
      </c>
    </row>
    <row r="14" ht="19" customHeight="1" s="87">
      <c r="A14" s="106" t="n">
        <v>5</v>
      </c>
      <c r="B14" s="34" t="n">
        <v>390</v>
      </c>
      <c r="C14" s="32">
        <f>ROUND(B14/A14,0)</f>
        <v/>
      </c>
    </row>
    <row r="15" ht="19" customHeight="1" s="87">
      <c r="A15" s="106" t="n">
        <v>5.5</v>
      </c>
      <c r="B15" s="34" t="n">
        <v>420</v>
      </c>
      <c r="C15" s="32">
        <f>ROUND(B15/A15,0)</f>
        <v/>
      </c>
    </row>
    <row r="16" ht="19" customHeight="1" s="87">
      <c r="A16" s="106" t="n">
        <v>6</v>
      </c>
      <c r="B16" s="34" t="n">
        <v>440</v>
      </c>
      <c r="C16" s="32">
        <f>ROUND(B16/A16,0)</f>
        <v/>
      </c>
    </row>
    <row r="17" ht="19" customHeight="1" s="87">
      <c r="A17" s="106" t="n">
        <v>6.5</v>
      </c>
      <c r="B17" s="34" t="n">
        <v>470</v>
      </c>
      <c r="C17" s="32">
        <f>ROUND(B17/A17,0)</f>
        <v/>
      </c>
    </row>
    <row r="18" ht="19" customHeight="1" s="87">
      <c r="A18" s="106" t="n">
        <v>7</v>
      </c>
      <c r="B18" s="34" t="n">
        <v>490</v>
      </c>
      <c r="C18" s="32">
        <f>ROUND(B18/A18,0)</f>
        <v/>
      </c>
    </row>
    <row r="19" ht="19" customHeight="1" s="87">
      <c r="A19" s="106" t="n">
        <v>7.5</v>
      </c>
      <c r="B19" s="34" t="n">
        <v>510</v>
      </c>
      <c r="C19" s="32">
        <f>ROUND(B19/A19,0)</f>
        <v/>
      </c>
    </row>
    <row r="20" ht="19" customHeight="1" s="87">
      <c r="A20" s="106" t="n">
        <v>8</v>
      </c>
      <c r="B20" s="34" t="n">
        <v>530</v>
      </c>
      <c r="C20" s="32">
        <f>ROUND(B20/A20,0)</f>
        <v/>
      </c>
    </row>
    <row r="21" ht="19" customHeight="1" s="87">
      <c r="A21" s="106" t="n">
        <v>8.5</v>
      </c>
      <c r="B21" s="34" t="n">
        <v>550</v>
      </c>
      <c r="C21" s="32">
        <f>ROUND(B21/A21,0)</f>
        <v/>
      </c>
    </row>
    <row r="22" ht="19" customHeight="1" s="87">
      <c r="A22" s="106" t="n">
        <v>9</v>
      </c>
      <c r="B22" s="34" t="n">
        <v>570</v>
      </c>
      <c r="C22" s="32">
        <f>ROUND(B22/A22,0)</f>
        <v/>
      </c>
    </row>
    <row r="23" ht="19" customHeight="1" s="87">
      <c r="A23" s="106" t="n">
        <v>9.5</v>
      </c>
      <c r="B23" s="34" t="n">
        <v>590</v>
      </c>
      <c r="C23" s="32">
        <f>ROUND(B23/A23,0)</f>
        <v/>
      </c>
    </row>
    <row r="24" ht="19" customHeight="1" s="87">
      <c r="A24" s="106" t="n">
        <v>10</v>
      </c>
      <c r="B24" s="34" t="n">
        <v>620</v>
      </c>
      <c r="C24" s="32">
        <f>ROUND(B24/A24,0)</f>
        <v/>
      </c>
    </row>
    <row r="25" ht="19" customHeight="1" s="87">
      <c r="A25" s="106" t="n">
        <v>10.5</v>
      </c>
      <c r="B25" s="34" t="n">
        <v>650</v>
      </c>
      <c r="C25" s="32">
        <f>ROUND(B25/A25,0)</f>
        <v/>
      </c>
    </row>
    <row r="26" ht="19" customHeight="1" s="87">
      <c r="A26" s="106" t="n">
        <v>11</v>
      </c>
      <c r="B26" s="34" t="n">
        <v>680</v>
      </c>
      <c r="C26" s="32">
        <f>ROUND(B26/A26,0)</f>
        <v/>
      </c>
    </row>
    <row r="27" ht="19" customHeight="1" s="87">
      <c r="A27" s="106" t="n">
        <v>11.5</v>
      </c>
      <c r="B27" s="34" t="n">
        <v>710</v>
      </c>
      <c r="C27" s="32">
        <f>ROUND(B27/A27,0)</f>
        <v/>
      </c>
    </row>
    <row r="28" ht="19" customHeight="1" s="87">
      <c r="A28" s="106" t="n">
        <v>12</v>
      </c>
      <c r="B28" s="34" t="n">
        <v>730</v>
      </c>
      <c r="C28" s="32">
        <f>ROUND(B28/A28,0)</f>
        <v/>
      </c>
    </row>
    <row r="29" ht="19" customHeight="1" s="87">
      <c r="A29" s="106" t="n">
        <v>12.5</v>
      </c>
      <c r="B29" s="34" t="n">
        <v>750</v>
      </c>
      <c r="C29" s="32">
        <f>ROUND(B29/A29,0)</f>
        <v/>
      </c>
    </row>
    <row r="30" ht="19" customHeight="1" s="87">
      <c r="A30" s="106" t="n">
        <v>13</v>
      </c>
      <c r="B30" s="34" t="n">
        <v>770</v>
      </c>
      <c r="C30" s="32">
        <f>ROUND(B30/A30,0)</f>
        <v/>
      </c>
    </row>
    <row r="31" ht="19" customHeight="1" s="87">
      <c r="A31" s="106" t="n">
        <v>13.5</v>
      </c>
      <c r="B31" s="34" t="n">
        <v>790</v>
      </c>
      <c r="C31" s="32">
        <f>ROUND(B31/A31,0)</f>
        <v/>
      </c>
    </row>
    <row r="32" ht="19" customHeight="1" s="87">
      <c r="A32" s="106" t="n">
        <v>14</v>
      </c>
      <c r="B32" s="34" t="n">
        <v>840</v>
      </c>
      <c r="C32" s="32">
        <f>ROUND(B32/A32,0)</f>
        <v/>
      </c>
    </row>
    <row r="33" ht="19" customHeight="1" s="87">
      <c r="A33" s="106" t="n">
        <v>14.5</v>
      </c>
      <c r="B33" s="34" t="n">
        <v>880</v>
      </c>
      <c r="C33" s="32">
        <f>ROUND(B33/A33,0)</f>
        <v/>
      </c>
    </row>
    <row r="34" ht="19" customHeight="1" s="87">
      <c r="A34" s="106" t="n">
        <v>15</v>
      </c>
      <c r="B34" s="34" t="n">
        <v>900</v>
      </c>
      <c r="C34" s="32">
        <f>ROUND(B34/A34,0)</f>
        <v/>
      </c>
    </row>
    <row r="35" ht="19" customHeight="1" s="87">
      <c r="A35" s="106" t="n">
        <v>15.5</v>
      </c>
      <c r="B35" s="34" t="n">
        <v>930</v>
      </c>
      <c r="C35" s="32">
        <f>ROUND(B35/A35,0)</f>
        <v/>
      </c>
    </row>
    <row r="36" ht="19" customHeight="1" s="87">
      <c r="A36" s="106" t="n">
        <v>16</v>
      </c>
      <c r="B36" s="34" t="n">
        <v>950</v>
      </c>
      <c r="C36" s="32">
        <f>ROUND(B36/A36,0)</f>
        <v/>
      </c>
    </row>
    <row r="37" ht="19" customHeight="1" s="87">
      <c r="A37" s="106" t="n">
        <v>16.5</v>
      </c>
      <c r="B37" s="34" t="n">
        <v>980</v>
      </c>
      <c r="C37" s="32">
        <f>ROUND(B37/A37,0)</f>
        <v/>
      </c>
    </row>
    <row r="38" ht="19" customHeight="1" s="87">
      <c r="A38" s="106" t="n">
        <v>17</v>
      </c>
      <c r="B38" s="34" t="n">
        <v>990</v>
      </c>
      <c r="C38" s="32">
        <f>ROUND(B38/A38,0)</f>
        <v/>
      </c>
    </row>
    <row r="39" ht="19" customHeight="1" s="87">
      <c r="A39" s="106" t="n">
        <v>17.5</v>
      </c>
      <c r="B39" s="34" t="n">
        <v>1030</v>
      </c>
      <c r="C39" s="32">
        <f>ROUND(B39/A39,0)</f>
        <v/>
      </c>
    </row>
    <row r="40" ht="19" customHeight="1" s="87">
      <c r="A40" s="106" t="n">
        <v>18</v>
      </c>
      <c r="B40" s="34" t="n">
        <v>1050</v>
      </c>
      <c r="C40" s="32">
        <f>ROUND(B40/A40,0)</f>
        <v/>
      </c>
    </row>
    <row r="41" ht="19" customHeight="1" s="87">
      <c r="A41" s="106" t="n">
        <v>18.5</v>
      </c>
      <c r="B41" s="34" t="n">
        <v>1070</v>
      </c>
      <c r="C41" s="32">
        <f>ROUND(B41/A41,0)</f>
        <v/>
      </c>
    </row>
    <row r="42" ht="19" customHeight="1" s="87">
      <c r="A42" s="106" t="n">
        <v>19</v>
      </c>
      <c r="B42" s="34" t="n">
        <v>1080</v>
      </c>
      <c r="C42" s="32">
        <f>ROUND(B42/A42,0)</f>
        <v/>
      </c>
    </row>
    <row r="43" ht="19" customHeight="1" s="87">
      <c r="A43" s="106" t="n">
        <v>19.5</v>
      </c>
      <c r="B43" s="34" t="n">
        <v>1110</v>
      </c>
      <c r="C43" s="32">
        <f>ROUND(B43/A43,0)</f>
        <v/>
      </c>
    </row>
    <row r="44" ht="19" customHeight="1" s="87">
      <c r="A44" s="106" t="n">
        <v>20</v>
      </c>
      <c r="B44" s="34" t="n">
        <v>1150</v>
      </c>
      <c r="C44" s="32">
        <f>ROUND(B44/A44,0)</f>
        <v/>
      </c>
    </row>
    <row r="45" ht="19" customHeight="1" s="87">
      <c r="A45" s="106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7" t="n"/>
      <c r="C1" s="107" t="n"/>
      <c r="D1" s="107" t="n"/>
      <c r="E1" s="107" t="n"/>
      <c r="F1" s="107" t="n"/>
      <c r="G1" s="107" t="n"/>
    </row>
    <row r="2" ht="62" customHeight="1" s="87">
      <c r="A2" s="108" t="inlineStr">
        <is>
          <t>体积除以6000计抛，免私人地址费，免产品杂费，此渠道只接受一票一件货物</t>
        </is>
      </c>
      <c r="B2" s="109" t="n"/>
      <c r="C2" s="109" t="n"/>
      <c r="D2" s="109" t="n"/>
      <c r="E2" s="109" t="n"/>
      <c r="F2" s="109" t="n"/>
      <c r="G2" s="110" t="n"/>
    </row>
    <row r="3" ht="71" customHeight="1" s="87">
      <c r="A3" s="111" t="inlineStr">
        <is>
          <t>起飞后2-3天提取，提取后2-5天UPS派送 时效10-15</t>
        </is>
      </c>
      <c r="B3" s="109" t="n"/>
      <c r="C3" s="109" t="n"/>
      <c r="D3" s="109" t="n"/>
      <c r="E3" s="109" t="n"/>
      <c r="F3" s="109" t="n"/>
      <c r="G3" s="110" t="n"/>
    </row>
    <row r="4" ht="30" customHeight="1" s="87">
      <c r="A4" s="112" t="inlineStr">
        <is>
          <t>重量KG</t>
        </is>
      </c>
      <c r="B4" s="15" t="inlineStr">
        <is>
          <t>（空派小货）普货价格</t>
        </is>
      </c>
      <c r="C4" s="113" t="inlineStr">
        <is>
          <t>注意事项：</t>
        </is>
      </c>
      <c r="D4" s="109" t="n"/>
      <c r="E4" s="109" t="n"/>
      <c r="F4" s="109" t="n"/>
      <c r="G4" s="110" t="n"/>
      <c r="H4" s="5" t="inlineStr">
        <is>
          <t>单价</t>
        </is>
      </c>
    </row>
    <row r="5" ht="19" customHeight="1" s="87">
      <c r="A5" s="114" t="n">
        <v>3</v>
      </c>
      <c r="B5" s="115" t="n">
        <v>290</v>
      </c>
      <c r="C5" s="116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7" t="n"/>
      <c r="E5" s="117" t="n"/>
      <c r="F5" s="117" t="n"/>
      <c r="G5" s="118" t="n"/>
      <c r="H5" s="5">
        <f>ROUNDUP(B5/A5,0)</f>
        <v/>
      </c>
    </row>
    <row r="6" ht="19" customHeight="1" s="87">
      <c r="A6" s="114" t="n">
        <v>3.5</v>
      </c>
      <c r="B6" s="115" t="n">
        <v>330</v>
      </c>
      <c r="C6" s="119" t="n"/>
      <c r="G6" s="120" t="n"/>
      <c r="H6" s="5">
        <f>ROUNDUP(B6/A6,0)</f>
        <v/>
      </c>
    </row>
    <row r="7" ht="19" customHeight="1" s="87">
      <c r="A7" s="114" t="n">
        <v>4</v>
      </c>
      <c r="B7" s="115" t="n">
        <v>340</v>
      </c>
      <c r="C7" s="119" t="n"/>
      <c r="G7" s="120" t="n"/>
      <c r="H7" s="5">
        <f>ROUNDUP(B7/A7,0)</f>
        <v/>
      </c>
    </row>
    <row r="8" ht="19" customHeight="1" s="87">
      <c r="A8" s="114" t="n">
        <v>4.5</v>
      </c>
      <c r="B8" s="115" t="n">
        <v>360</v>
      </c>
      <c r="C8" s="119" t="n"/>
      <c r="G8" s="120" t="n"/>
      <c r="H8" s="5">
        <f>ROUNDUP(B8/A8,0)</f>
        <v/>
      </c>
    </row>
    <row r="9" ht="19" customHeight="1" s="87">
      <c r="A9" s="114" t="n">
        <v>5</v>
      </c>
      <c r="B9" s="115" t="n">
        <v>390</v>
      </c>
      <c r="C9" s="119" t="n"/>
      <c r="G9" s="120" t="n"/>
      <c r="H9" s="5">
        <f>ROUNDUP(B9/A9,0)</f>
        <v/>
      </c>
    </row>
    <row r="10" ht="19" customHeight="1" s="87">
      <c r="A10" s="114" t="n">
        <v>5.5</v>
      </c>
      <c r="B10" s="115" t="n">
        <v>420</v>
      </c>
      <c r="C10" s="119" t="n"/>
      <c r="G10" s="120" t="n"/>
      <c r="H10" s="5">
        <f>ROUNDUP(B10/A10,0)</f>
        <v/>
      </c>
    </row>
    <row r="11" ht="19" customHeight="1" s="87">
      <c r="A11" s="114" t="n">
        <v>6</v>
      </c>
      <c r="B11" s="115" t="n">
        <v>450</v>
      </c>
      <c r="C11" s="119" t="n"/>
      <c r="G11" s="120" t="n"/>
      <c r="H11" s="5">
        <f>ROUNDUP(B11/A11,0)</f>
        <v/>
      </c>
    </row>
    <row r="12" ht="19" customHeight="1" s="87">
      <c r="A12" s="114" t="n">
        <v>6.5</v>
      </c>
      <c r="B12" s="115" t="n">
        <v>480</v>
      </c>
      <c r="C12" s="119" t="n"/>
      <c r="G12" s="120" t="n"/>
      <c r="H12" s="5">
        <f>ROUNDUP(B12/A12,0)</f>
        <v/>
      </c>
    </row>
    <row r="13" ht="19" customHeight="1" s="87">
      <c r="A13" s="114" t="n">
        <v>7</v>
      </c>
      <c r="B13" s="115" t="n">
        <v>510</v>
      </c>
      <c r="C13" s="119" t="n"/>
      <c r="G13" s="120" t="n"/>
      <c r="H13" s="5">
        <f>ROUNDUP(B13/A13,0)</f>
        <v/>
      </c>
    </row>
    <row r="14" ht="19" customHeight="1" s="87">
      <c r="A14" s="114" t="n">
        <v>7.5</v>
      </c>
      <c r="B14" s="115" t="n">
        <v>530</v>
      </c>
      <c r="C14" s="119" t="n"/>
      <c r="G14" s="120" t="n"/>
      <c r="H14" s="5">
        <f>ROUNDUP(B14/A14,0)</f>
        <v/>
      </c>
    </row>
    <row r="15" ht="19" customHeight="1" s="87">
      <c r="A15" s="114" t="n">
        <v>8</v>
      </c>
      <c r="B15" s="115" t="n">
        <v>540</v>
      </c>
      <c r="C15" s="119" t="n"/>
      <c r="G15" s="120" t="n"/>
      <c r="H15" s="5">
        <f>ROUNDUP(B15/A15,0)</f>
        <v/>
      </c>
    </row>
    <row r="16" ht="19" customHeight="1" s="87">
      <c r="A16" s="114" t="n">
        <v>8.5</v>
      </c>
      <c r="B16" s="115" t="n">
        <v>570</v>
      </c>
      <c r="C16" s="119" t="n"/>
      <c r="G16" s="120" t="n"/>
      <c r="H16" s="5">
        <f>ROUNDUP(B16/A16,0)</f>
        <v/>
      </c>
    </row>
    <row r="17" ht="19" customHeight="1" s="87">
      <c r="A17" s="114" t="n">
        <v>9</v>
      </c>
      <c r="B17" s="115" t="n">
        <v>590</v>
      </c>
      <c r="C17" s="119" t="n"/>
      <c r="G17" s="120" t="n"/>
      <c r="H17" s="5">
        <f>ROUNDUP(B17/A17,0)</f>
        <v/>
      </c>
    </row>
    <row r="18" ht="19" customHeight="1" s="87">
      <c r="A18" s="114" t="n">
        <v>9.5</v>
      </c>
      <c r="B18" s="115" t="n">
        <v>630</v>
      </c>
      <c r="C18" s="119" t="n"/>
      <c r="G18" s="120" t="n"/>
      <c r="H18" s="5">
        <f>ROUNDUP(B18/A18,0)</f>
        <v/>
      </c>
    </row>
    <row r="19" ht="19" customHeight="1" s="87">
      <c r="A19" s="114" t="n">
        <v>10</v>
      </c>
      <c r="B19" s="115" t="n">
        <v>650</v>
      </c>
      <c r="C19" s="119" t="n"/>
      <c r="G19" s="120" t="n"/>
      <c r="H19" s="5">
        <f>ROUNDUP(B19/A19,0)</f>
        <v/>
      </c>
    </row>
    <row r="20" ht="19" customHeight="1" s="87">
      <c r="A20" s="114" t="n">
        <v>10.5</v>
      </c>
      <c r="B20" s="115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4" t="n">
        <v>11</v>
      </c>
      <c r="B21" s="115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4" t="n">
        <v>11.5</v>
      </c>
      <c r="B22" s="115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4" t="n">
        <v>12</v>
      </c>
      <c r="B23" s="115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4" t="n">
        <v>12.5</v>
      </c>
      <c r="B24" s="115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4" t="n">
        <v>13</v>
      </c>
      <c r="B25" s="115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4" t="n">
        <v>13.5</v>
      </c>
      <c r="B26" s="115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4" t="n">
        <v>14</v>
      </c>
      <c r="B27" s="115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4" t="n">
        <v>14.5</v>
      </c>
      <c r="B28" s="115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2026-05-01T06:12:00Z</dcterms:created>
  <dcterms:modified xsi:type="dcterms:W3CDTF">2026-05-01T05:55:53Z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