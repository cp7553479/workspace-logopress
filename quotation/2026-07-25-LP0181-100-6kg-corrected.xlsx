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运费计算" sheetId="2" state="visible" r:id="rId2"/>
    <sheet name="上海UPS小货" sheetId="3" state="visible" r:id="rId3"/>
    <sheet name="空派小货（普货）" sheetId="4" state="visible" r:id="rId4"/>
    <sheet name="单位换算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  <numFmt numFmtId="174" formatCode="$0.00"/>
    <numFmt numFmtId="175" formatCode="¥0.00"/>
  </numFmts>
  <fonts count="52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C00000"/>
    </font>
  </fonts>
  <fills count="45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48" fillId="43" borderId="0" applyAlignment="1" pivotButton="0" quotePrefix="0" xfId="0">
      <alignment horizontal="center"/>
    </xf>
    <xf numFmtId="0" fontId="49" fillId="44" borderId="29" applyAlignment="1" pivotButton="0" quotePrefix="0" xfId="0">
      <alignment vertical="center" wrapText="1"/>
    </xf>
    <xf numFmtId="0" fontId="0" fillId="0" borderId="29" applyAlignment="1" pivotButton="0" quotePrefix="0" xfId="0">
      <alignment vertical="center" wrapText="1"/>
    </xf>
    <xf numFmtId="174" fontId="0" fillId="0" borderId="29" applyAlignment="1" pivotButton="0" quotePrefix="0" xfId="0">
      <alignment vertical="center" wrapText="1"/>
    </xf>
    <xf numFmtId="175" fontId="0" fillId="0" borderId="29" applyAlignment="1" pivotButton="0" quotePrefix="0" xfId="0">
      <alignment vertical="center" wrapText="1"/>
    </xf>
    <xf numFmtId="9" fontId="0" fillId="0" borderId="29" applyAlignment="1" pivotButton="0" quotePrefix="0" xfId="0">
      <alignment vertical="center" wrapText="1"/>
    </xf>
    <xf numFmtId="2" fontId="0" fillId="0" borderId="29" applyAlignment="1" pivotButton="0" quotePrefix="0" xfId="0">
      <alignment vertical="center" wrapText="1"/>
    </xf>
    <xf numFmtId="0" fontId="50" fillId="0" borderId="29" applyAlignment="1" pivotButton="0" quotePrefix="0" xfId="0">
      <alignment vertical="center" wrapText="1"/>
    </xf>
    <xf numFmtId="174" fontId="51" fillId="0" borderId="29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OpenClaw</author>
  </authors>
  <commentList>
    <comment ref="C11" authorId="0" shapeId="0">
      <text>
        <t>UPS 6 kg fixed freight RMB 630 × freight inflation factor 1.10 = RMB 693. Used as fixed logistics cost; avoids double-counting the ordinary per-kg courier formula.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LP0181</t>
        </is>
      </c>
      <c r="C2" s="37" t="inlineStr">
        <is>
          <t>Double Pocket Plastic Folder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1.22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54</v>
      </c>
      <c r="C9" s="37" t="n">
        <v>36</v>
      </c>
      <c r="D9" s="37" t="n">
        <v>36</v>
      </c>
      <c r="E9" s="37" t="n">
        <v>20</v>
      </c>
      <c r="F9" s="37" t="n">
        <v>180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3.2</v>
      </c>
      <c r="C11" s="37" t="n">
        <v>693</v>
      </c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0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70" customWidth="1" style="1" min="2" max="2"/>
  </cols>
  <sheetData>
    <row r="1">
      <c r="A1" s="105" t="inlineStr">
        <is>
          <t>B5887 / LP0181 正确报价计算</t>
        </is>
      </c>
    </row>
    <row r="2">
      <c r="A2" s="106" t="inlineStr">
        <is>
          <t>项目</t>
        </is>
      </c>
      <c r="B2" s="106" t="inlineStr">
        <is>
          <t>金额</t>
        </is>
      </c>
    </row>
    <row r="3">
      <c r="A3" s="107" t="inlineStr">
        <is>
          <t>数量</t>
        </is>
      </c>
      <c r="B3" s="107" t="inlineStr">
        <is>
          <t>100 pcs</t>
        </is>
      </c>
    </row>
    <row r="4">
      <c r="A4" s="107" t="inlineStr">
        <is>
          <t>产品单价（USD）</t>
        </is>
      </c>
      <c r="B4" s="108" t="n">
        <v>1.22</v>
      </c>
    </row>
    <row r="5">
      <c r="A5" s="107" t="inlineStr">
        <is>
          <t>产品销售额（USD）</t>
        </is>
      </c>
      <c r="B5" s="108" t="n">
        <v>122</v>
      </c>
    </row>
    <row r="6">
      <c r="A6" s="107" t="inlineStr">
        <is>
          <t>Setup Fee（USD）</t>
        </is>
      </c>
      <c r="B6" s="108" t="n">
        <v>50</v>
      </c>
    </row>
    <row r="7">
      <c r="A7" s="107" t="inlineStr">
        <is>
          <t>计费重量</t>
        </is>
      </c>
      <c r="B7" s="107" t="inlineStr">
        <is>
          <t>6 kg</t>
        </is>
      </c>
    </row>
    <row r="8">
      <c r="A8" s="107" t="inlineStr">
        <is>
          <t>UPS 6 kg 成本（RMB）</t>
        </is>
      </c>
      <c r="B8" s="109" t="n">
        <v>630</v>
      </c>
    </row>
    <row r="9">
      <c r="A9" s="107" t="inlineStr">
        <is>
          <t>运费膨胀系数</t>
        </is>
      </c>
      <c r="B9" s="110" t="n">
        <v>1.1</v>
      </c>
    </row>
    <row r="10">
      <c r="A10" s="107" t="inlineStr">
        <is>
          <t>膨胀后运费成本（RMB）</t>
        </is>
      </c>
      <c r="B10" s="109" t="n">
        <v>693</v>
      </c>
    </row>
    <row r="11">
      <c r="A11" s="107" t="inlineStr">
        <is>
          <t>产品采购成本（RMB）</t>
        </is>
      </c>
      <c r="B11" s="109" t="n">
        <v>320</v>
      </c>
    </row>
    <row r="12">
      <c r="A12" s="107" t="inlineStr">
        <is>
          <t>汇率（RMB/USD）</t>
        </is>
      </c>
      <c r="B12" s="111" t="n">
        <v>6.8</v>
      </c>
    </row>
    <row r="13">
      <c r="A13" s="107" t="inlineStr">
        <is>
          <t>目标利润率</t>
        </is>
      </c>
      <c r="B13" s="110" t="n">
        <v>0.3</v>
      </c>
    </row>
    <row r="14">
      <c r="A14" s="107" t="inlineStr">
        <is>
          <t>产品+运费目标收入（USD）</t>
        </is>
      </c>
      <c r="B14" s="108" t="n">
        <v>212.82</v>
      </c>
    </row>
    <row r="15">
      <c r="A15" s="107" t="inlineStr">
        <is>
          <t>对客运费（USD）</t>
        </is>
      </c>
      <c r="B15" s="108" t="n">
        <v>90.81999999999999</v>
      </c>
    </row>
    <row r="16">
      <c r="A16" s="112" t="inlineStr">
        <is>
          <t>订单总额含 Setup（USD）</t>
        </is>
      </c>
      <c r="B16" s="113" t="n">
        <v>262.82</v>
      </c>
    </row>
    <row r="17">
      <c r="A17" s="107" t="inlineStr">
        <is>
          <t>说明</t>
        </is>
      </c>
      <c r="B17" s="107" t="inlineStr">
        <is>
          <t>按模板：[(产品采购成本 ¥320 + 运费 ¥630×1.1) ÷ 6.8] ÷ (1−30%)，再加 Setup Fee $50。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2026-07-24T17:00:15Z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