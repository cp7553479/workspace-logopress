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60" tabRatio="600" firstSheet="0" activeTab="0" autoFilterDateGrouping="1"/>
  </bookViews>
  <sheets>
    <sheet name="报价表" sheetId="1" state="visible" r:id="rId1"/>
    <sheet name="运费计算" sheetId="2" state="visible" r:id="rId2"/>
    <sheet name="上海UPS小货" sheetId="3" state="visible" r:id="rId3"/>
    <sheet name="空派小货（普货）" sheetId="4" state="visible" r:id="rId4"/>
    <sheet name="单位换算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  <numFmt numFmtId="174" formatCode="$0.00"/>
    <numFmt numFmtId="175" formatCode="¥0.00"/>
  </numFmts>
  <fonts count="52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C00000"/>
    </font>
  </fonts>
  <fills count="45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48" fillId="43" borderId="0" applyAlignment="1" pivotButton="0" quotePrefix="0" xfId="0">
      <alignment horizontal="center"/>
    </xf>
    <xf numFmtId="0" fontId="49" fillId="44" borderId="29" applyAlignment="1" pivotButton="0" quotePrefix="0" xfId="0">
      <alignment vertical="center" wrapText="1"/>
    </xf>
    <xf numFmtId="0" fontId="0" fillId="0" borderId="29" applyAlignment="1" pivotButton="0" quotePrefix="0" xfId="0">
      <alignment vertical="center" wrapText="1"/>
    </xf>
    <xf numFmtId="174" fontId="0" fillId="0" borderId="29" applyAlignment="1" pivotButton="0" quotePrefix="0" xfId="0">
      <alignment vertical="center" wrapText="1"/>
    </xf>
    <xf numFmtId="175" fontId="0" fillId="0" borderId="29" applyAlignment="1" pivotButton="0" quotePrefix="0" xfId="0">
      <alignment vertical="center" wrapText="1"/>
    </xf>
    <xf numFmtId="2" fontId="0" fillId="0" borderId="29" applyAlignment="1" pivotButton="0" quotePrefix="0" xfId="0">
      <alignment vertical="center" wrapText="1"/>
    </xf>
    <xf numFmtId="0" fontId="50" fillId="0" borderId="29" applyAlignment="1" pivotButton="0" quotePrefix="0" xfId="0">
      <alignment vertical="center" wrapText="1"/>
    </xf>
    <xf numFmtId="174" fontId="51" fillId="0" borderId="29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OpenClaw</author>
  </authors>
  <commentList>
    <comment ref="C11" authorId="0" shapeId="0">
      <text>
        <t>6 kg Shanghai UPS red-label small-parcel freight: RMB 630, tax included, customs clearance excluded.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D18" sqref="D18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LP0181</t>
        </is>
      </c>
      <c r="C2" s="37" t="inlineStr">
        <is>
          <t>Double Pocket Plastic Folder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100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1.22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54</v>
      </c>
      <c r="C9" s="37" t="n">
        <v>36</v>
      </c>
      <c r="D9" s="37" t="n">
        <v>36</v>
      </c>
      <c r="E9" s="37" t="n">
        <v>20</v>
      </c>
      <c r="F9" s="37" t="n">
        <v>180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3.2</v>
      </c>
      <c r="C11" s="37" t="n">
        <v>630</v>
      </c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IFERROR(B16/($G9/1000),0)</f>
        <v/>
      </c>
      <c r="C18" s="70">
        <f>IFERROR(C16/($G9/1000),0)</f>
        <v/>
      </c>
      <c r="D18" s="71">
        <f>IFERROR(D16/($G9/1000),0)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52" customWidth="1" style="1" min="2" max="2"/>
  </cols>
  <sheetData>
    <row r="1">
      <c r="A1" s="105" t="inlineStr">
        <is>
          <t>B5887 / LP0181 运费及总额计算</t>
        </is>
      </c>
    </row>
    <row r="2">
      <c r="A2" s="106" t="inlineStr">
        <is>
          <t>项目</t>
        </is>
      </c>
      <c r="B2" s="106" t="inlineStr">
        <is>
          <t>金额</t>
        </is>
      </c>
    </row>
    <row r="3">
      <c r="A3" s="107" t="inlineStr">
        <is>
          <t>数量</t>
        </is>
      </c>
      <c r="B3" s="107" t="inlineStr">
        <is>
          <t>100 pcs</t>
        </is>
      </c>
    </row>
    <row r="4">
      <c r="A4" s="107" t="inlineStr">
        <is>
          <t>产品单价（USD）</t>
        </is>
      </c>
      <c r="B4" s="108" t="n">
        <v>1.22</v>
      </c>
    </row>
    <row r="5">
      <c r="A5" s="107" t="inlineStr">
        <is>
          <t>产品金额（USD）</t>
        </is>
      </c>
      <c r="B5" s="108">
        <f>B3*B4</f>
        <v/>
      </c>
    </row>
    <row r="6">
      <c r="A6" s="107" t="inlineStr">
        <is>
          <t>Setup Fee（USD）</t>
        </is>
      </c>
      <c r="B6" s="108" t="n">
        <v>50</v>
      </c>
    </row>
    <row r="7">
      <c r="A7" s="107" t="inlineStr">
        <is>
          <t>计费重量</t>
        </is>
      </c>
      <c r="B7" s="107" t="inlineStr">
        <is>
          <t>6 kg</t>
        </is>
      </c>
    </row>
    <row r="8">
      <c r="A8" s="107" t="inlineStr">
        <is>
          <t>UPS 6 kg 运费（RMB）</t>
        </is>
      </c>
      <c r="B8" s="109" t="n">
        <v>630</v>
      </c>
    </row>
    <row r="9">
      <c r="A9" s="107" t="inlineStr">
        <is>
          <t>汇率（RMB/USD）</t>
        </is>
      </c>
      <c r="B9" s="110" t="n">
        <v>6.8</v>
      </c>
    </row>
    <row r="10">
      <c r="A10" s="107" t="inlineStr">
        <is>
          <t>运费折合（USD）</t>
        </is>
      </c>
      <c r="B10" s="108">
        <f>B8/B9</f>
        <v/>
      </c>
    </row>
    <row r="11">
      <c r="A11" s="111" t="inlineStr">
        <is>
          <t>订单合计（USD）</t>
        </is>
      </c>
      <c r="B11" s="112">
        <f>B5+B6+B10</f>
        <v/>
      </c>
    </row>
    <row r="12">
      <c r="A12" s="107" t="inlineStr">
        <is>
          <t>说明</t>
        </is>
      </c>
      <c r="B12" s="107" t="inlineStr">
        <is>
          <t>UPS红单美国小货，包税、不包清关；未加急。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2026-05-02T06:12:00Z</dcterms:created>
  <dcterms:modified xsi:type="dcterms:W3CDTF">2026-07-24T16:55:09Z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