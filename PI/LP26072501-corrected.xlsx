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I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<sst xmlns="http://schemas.openxmlformats.org/spreadsheetml/2006/main" uniqueCount="82">
  <si>
    <t>PROFORMA INVOICE</t>
  </si>
  <si>
    <t>Address:</t>
  </si>
  <si>
    <t>201 N WOLCOTT ST STE 203 Casper WY 82601  LogoPress Trading Inc</t>
  </si>
  <si>
    <t>DATE</t>
  </si>
  <si>
    <t>2026/07/25</t>
  </si>
  <si>
    <t>Tel:</t>
  </si>
  <si>
    <t>(307) 2072111</t>
  </si>
  <si>
    <t>PI #</t>
  </si>
  <si>
    <t>LP26072501</t>
  </si>
  <si>
    <t>Attn:</t>
  </si>
  <si>
    <t>Edward</t>
  </si>
  <si>
    <t>PO #</t>
  </si>
  <si>
    <t>B5887</t>
  </si>
  <si>
    <t>Email:</t>
  </si>
  <si>
    <r>
      <rPr>
        <sz val="10"/>
        <color indexed="8"/>
        <rFont val="Helvetica Neue"/>
      </rPr>
      <t>Edward@logopressinc.com</t>
    </r>
  </si>
  <si>
    <t>PAYMENT TERM</t>
  </si>
  <si>
    <t>100% Prepayment</t>
  </si>
  <si>
    <t>CUSTOMER</t>
  </si>
  <si>
    <t>SHIP TO</t>
  </si>
  <si>
    <t>SHIPPING DETAILS</t>
  </si>
  <si>
    <t>Andrew Birnbaum LLC (DBA www.bboyz.pro)</t>
  </si>
  <si>
    <t>Andrew Birnbaum LLC / BBOYZ.pro</t>
  </si>
  <si>
    <t>Order Date</t>
  </si>
  <si>
    <t>84 Sturbridge Circle, Wayne, NJ 07470</t>
  </si>
  <si>
    <t>5086 S Linden Dr, Englewood, CO 80110</t>
  </si>
  <si>
    <t>Ship Date</t>
  </si>
  <si>
    <t>2026/08/04</t>
  </si>
  <si>
    <t>Andrew Birnbaum</t>
  </si>
  <si>
    <t>Matt Anderson</t>
  </si>
  <si>
    <t>In-Hands Date</t>
  </si>
  <si>
    <t>2026/08/12</t>
  </si>
  <si>
    <t>Freight Type</t>
  </si>
  <si>
    <t>Sea Shipping</t>
  </si>
  <si>
    <t>andy@bboyzcustomprinting.com</t>
  </si>
  <si>
    <t>Total Packages</t>
  </si>
  <si>
    <t>Product Number</t>
  </si>
  <si>
    <t>DESCRIPTION</t>
  </si>
  <si>
    <t>QTY</t>
  </si>
  <si>
    <t>UNIT PRICE</t>
  </si>
  <si>
    <t>TOTAL AMOUNT</t>
  </si>
  <si>
    <t>LP0181</t>
  </si>
  <si>
    <t>Double Pocket Plastic Folder - with fasteners; Black; White imprint</t>
  </si>
  <si>
    <t>[42]</t>
  </si>
  <si>
    <t>Subtotal</t>
  </si>
  <si>
    <t>ADDITIONAL DETAILS</t>
  </si>
  <si>
    <t>Freight</t>
  </si>
  <si>
    <t>Item Material:</t>
  </si>
  <si>
    <t>Set-up fee</t>
  </si>
  <si>
    <t>Item Color:</t>
  </si>
  <si>
    <t>Insurance</t>
  </si>
  <si>
    <t xml:space="preserve">Imprint Method: </t>
  </si>
  <si>
    <t>Inspection/Cert.</t>
  </si>
  <si>
    <t xml:space="preserve">Logo color: </t>
  </si>
  <si>
    <t>Other (specify)</t>
  </si>
  <si>
    <t>Pay by CHECK or Wire transfer</t>
  </si>
  <si>
    <t>TOTAL</t>
  </si>
  <si>
    <t>Pay by Credit Card</t>
  </si>
  <si>
    <t>Currency</t>
  </si>
  <si>
    <t>USD</t>
  </si>
  <si>
    <t>Payment Information and Notes</t>
  </si>
  <si>
    <t>1. Pay Via Check</t>
  </si>
  <si>
    <t>Company Name:</t>
  </si>
  <si>
    <t>LogoPress Trading Inc</t>
  </si>
  <si>
    <t>Mailing Address:</t>
  </si>
  <si>
    <t>6118 Batesole Dr Santa Rosa, CA 95404-9504</t>
  </si>
  <si>
    <t>(307)3339062</t>
  </si>
  <si>
    <t>Account Number:</t>
  </si>
  <si>
    <t>Note:</t>
  </si>
  <si>
    <t>1) Please write sales representative’s name and PO#/PI# on the check so the order can be easily recognized.</t>
  </si>
  <si>
    <t>2) Please email the scanned original check to your sales rep before shipping. Avoid selecting check as a payment method if the scan is unavailable.</t>
  </si>
  <si>
    <t>2. Pay Via Transfer</t>
  </si>
  <si>
    <t>Name of Bank: East West Bank</t>
  </si>
  <si>
    <t>Bank address:(branch address) 9300 Flair Drive, 4th Fl.branch city, state, zip) El Monte, CA 91731</t>
  </si>
  <si>
    <t>SWIFT Code: EWBKUS66XXX</t>
  </si>
  <si>
    <t>Bank Routing Number:  (domestic wires) 3 | 2 | 2 | 0 | 7 | 0 | 3 | 8 | 1</t>
  </si>
  <si>
    <t xml:space="preserve">                                    (international wires) EWBKUS66XXX</t>
  </si>
  <si>
    <t>Recipient Name: LogoPress Trading Inc</t>
  </si>
  <si>
    <t>Account Number: 8003349563</t>
  </si>
  <si>
    <t>3. Pay Via Credit Card</t>
  </si>
  <si>
    <t xml:space="preserve">1) Please note that paying by credit card comes with a 3.50% handling charge.
</t>
  </si>
  <si>
    <t>2) For credit card payment, please contact your sales rep to set up the payment link.</t>
  </si>
  <si>
    <t>(3.50% handing charge included)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</si>
</sst>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0&quot; &quot;"/>
    <numFmt numFmtId="60" formatCode="&quot; &quot;* #,##0.00&quot; &quot;;&quot; &quot;* (#,##0.00);&quot; &quot;* &quot;-&quot;??&quot; &quot;"/>
    <numFmt numFmtId="61" formatCode="&quot; &quot;[$$-409]* #,##0.00&quot; &quot;;&quot; &quot;[$$-409]* (#,##0.00);&quot; &quot;[$$-409]* &quot;-&quot;??&quot; &quot;"/>
    <numFmt numFmtId="62" formatCode="yyyy&quot;年&quot;m&quot;月&quot;d&quot;日&quot;"/>
  </numFmts>
  <fonts count="16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8"/>
      <color indexed="8"/>
      <name val="Helvetica Neue"/>
    </font>
    <font>
      <b val="1"/>
      <sz val="36"/>
      <color indexed="11"/>
      <name val="Helvetica Neue"/>
    </font>
    <font>
      <sz val="10"/>
      <color indexed="8"/>
      <name val="Helvetica Neue"/>
    </font>
    <font>
      <sz val="10"/>
      <color indexed="12"/>
      <name val="Helvetica Neue"/>
    </font>
    <font>
      <b val="1"/>
      <sz val="11"/>
      <color indexed="9"/>
      <name val="Helvetica Neue"/>
    </font>
    <font>
      <sz val="9"/>
      <color indexed="8"/>
      <name val="Helvetica Neue"/>
    </font>
    <font>
      <sz val="9"/>
      <color indexed="14"/>
      <name val="Helvetica Neue"/>
    </font>
    <font>
      <sz val="8"/>
      <color indexed="9"/>
      <name val="Helvetica Neue"/>
    </font>
    <font>
      <b val="1"/>
      <sz val="10"/>
      <color indexed="8"/>
      <name val="Helvetica Neue"/>
    </font>
    <font>
      <b val="1"/>
      <sz val="11"/>
      <color indexed="8"/>
      <name val="Helvetica Neue"/>
    </font>
    <font>
      <b val="1"/>
      <sz val="28"/>
      <color indexed="11"/>
      <name val="Helvetica Neue"/>
    </font>
    <font>
      <sz val="10"/>
      <color indexed="15"/>
      <name val="Helvetica Neue"/>
    </font>
    <font>
      <b val="1"/>
      <sz val="10"/>
      <color indexed="16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/>
      <bottom style="thin">
        <color indexed="13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center"/>
    </xf>
    <xf numFmtId="0" fontId="3" fillId="2" borderId="4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5" fillId="2" borderId="4" applyNumberFormat="0" applyFont="1" applyFill="1" applyBorder="1" applyAlignment="1" applyProtection="0">
      <alignment horizontal="left" vertical="bottom"/>
    </xf>
    <xf numFmtId="49" fontId="5" fillId="2" borderId="4" applyNumberFormat="1" applyFont="1" applyFill="1" applyBorder="1" applyAlignment="1" applyProtection="0">
      <alignment horizontal="left" vertical="bottom"/>
    </xf>
    <xf numFmtId="49" fontId="5" fillId="2" borderId="5" applyNumberFormat="1" applyFont="1" applyFill="1" applyBorder="1" applyAlignment="1" applyProtection="0">
      <alignment horizontal="left"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top"/>
    </xf>
    <xf numFmtId="0" fontId="6" fillId="2" borderId="1" applyNumberFormat="0" applyFont="1" applyFill="1" applyBorder="1" applyAlignment="1" applyProtection="0">
      <alignment vertical="bottom"/>
    </xf>
    <xf numFmtId="49" fontId="7" fillId="3" borderId="4" applyNumberFormat="1" applyFont="1" applyFill="1" applyBorder="1" applyAlignment="1" applyProtection="0">
      <alignment horizontal="left" vertical="bottom"/>
    </xf>
    <xf numFmtId="0" fontId="7" fillId="3" borderId="4" applyNumberFormat="0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/>
    </xf>
    <xf numFmtId="49" fontId="5" fillId="2" borderId="9" applyNumberFormat="1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bottom"/>
    </xf>
    <xf numFmtId="0" fontId="5" fillId="2" borderId="9" applyNumberFormat="0" applyFont="1" applyFill="1" applyBorder="1" applyAlignment="1" applyProtection="0">
      <alignment horizontal="left" vertical="center"/>
    </xf>
    <xf numFmtId="49" fontId="5" fillId="2" borderId="10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left" vertical="center"/>
    </xf>
    <xf numFmtId="0" fontId="5" fillId="2" borderId="1" applyNumberFormat="0" applyFont="1" applyFill="1" applyBorder="1" applyAlignment="1" applyProtection="0">
      <alignment horizontal="left" vertical="center"/>
    </xf>
    <xf numFmtId="49" fontId="5" fillId="2" borderId="2" applyNumberFormat="1" applyFont="1" applyFill="1" applyBorder="1" applyAlignment="1" applyProtection="0">
      <alignment horizontal="left" vertical="center"/>
    </xf>
    <xf numFmtId="0" fontId="5" fillId="2" borderId="2" applyNumberFormat="0" applyFont="1" applyFill="1" applyBorder="1" applyAlignment="1" applyProtection="0">
      <alignment horizontal="left" vertical="center"/>
    </xf>
    <xf numFmtId="0" fontId="5" fillId="2" borderId="2" applyNumberFormat="1" applyFont="1" applyFill="1" applyBorder="1" applyAlignment="1" applyProtection="0">
      <alignment horizontal="left" vertical="center"/>
    </xf>
    <xf numFmtId="0" fontId="8" fillId="2" borderId="4" applyNumberFormat="0" applyFont="1" applyFill="1" applyBorder="1" applyAlignment="1" applyProtection="0">
      <alignment horizontal="left" vertical="center"/>
    </xf>
    <xf numFmtId="0" fontId="0" fillId="2" borderId="11" applyNumberFormat="0" applyFont="1" applyFill="1" applyBorder="1" applyAlignment="1" applyProtection="0">
      <alignment vertical="bottom"/>
    </xf>
    <xf numFmtId="0" fontId="5" fillId="2" borderId="4" applyNumberFormat="0" applyFont="1" applyFill="1" applyBorder="1" applyAlignment="1" applyProtection="0">
      <alignment horizontal="left" vertical="center"/>
    </xf>
    <xf numFmtId="0" fontId="0" fillId="2" borderId="12" applyNumberFormat="0" applyFont="1" applyFill="1" applyBorder="1" applyAlignment="1" applyProtection="0">
      <alignment vertical="bottom"/>
    </xf>
    <xf numFmtId="49" fontId="7" fillId="3" borderId="4" applyNumberFormat="1" applyFont="1" applyFill="1" applyBorder="1" applyAlignment="1" applyProtection="0">
      <alignment horizontal="left" vertical="center"/>
    </xf>
    <xf numFmtId="49" fontId="7" fillId="3" borderId="4" applyNumberFormat="1" applyFont="1" applyFill="1" applyBorder="1" applyAlignment="1" applyProtection="0">
      <alignment horizontal="center" vertical="center"/>
    </xf>
    <xf numFmtId="0" fontId="0" fillId="2" borderId="13" applyNumberFormat="0" applyFont="1" applyFill="1" applyBorder="1" applyAlignment="1" applyProtection="0">
      <alignment vertical="bottom"/>
    </xf>
    <xf numFmtId="49" fontId="9" fillId="2" borderId="9" applyNumberFormat="1" applyFont="1" applyFill="1" applyBorder="1" applyAlignment="1" applyProtection="0">
      <alignment horizontal="center" vertical="center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5" fillId="2" borderId="9" applyNumberFormat="1" applyFont="1" applyFill="1" applyBorder="1" applyAlignment="1" applyProtection="0">
      <alignment horizontal="center" vertical="center"/>
    </xf>
    <xf numFmtId="59" fontId="5" fillId="2" borderId="9" applyNumberFormat="1" applyFont="1" applyFill="1" applyBorder="1" applyAlignment="1" applyProtection="0">
      <alignment horizontal="center" vertical="center"/>
    </xf>
    <xf numFmtId="0" fontId="5" fillId="2" borderId="9" applyNumberFormat="1" applyFont="1" applyFill="1" applyBorder="1" applyAlignment="1" applyProtection="0">
      <alignment horizontal="right" vertical="center"/>
    </xf>
    <xf numFmtId="0" fontId="9" fillId="2" borderId="1" applyNumberFormat="0" applyFont="1" applyFill="1" applyBorder="1" applyAlignment="1" applyProtection="0">
      <alignment horizontal="center" vertical="center"/>
    </xf>
    <xf numFmtId="0" fontId="5" fillId="2" borderId="1" applyNumberFormat="0" applyFont="1" applyFill="1" applyBorder="1" applyAlignment="1" applyProtection="0">
      <alignment horizontal="center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59" fontId="5" fillId="2" borderId="1" applyNumberFormat="1" applyFont="1" applyFill="1" applyBorder="1" applyAlignment="1" applyProtection="0">
      <alignment horizontal="center" vertical="center"/>
    </xf>
    <xf numFmtId="0" fontId="5" fillId="2" borderId="1" applyNumberFormat="0" applyFont="1" applyFill="1" applyBorder="1" applyAlignment="1" applyProtection="0">
      <alignment horizontal="right" vertical="center"/>
    </xf>
    <xf numFmtId="49" fontId="10" fillId="2" borderId="2" applyNumberFormat="1" applyFont="1" applyFill="1" applyBorder="1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7" fillId="3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bottom"/>
    </xf>
    <xf numFmtId="60" fontId="0" fillId="2" borderId="14" applyNumberFormat="1" applyFont="1" applyFill="1" applyBorder="1" applyAlignment="1" applyProtection="0">
      <alignment vertical="bottom"/>
    </xf>
    <xf numFmtId="0" fontId="5" fillId="2" borderId="15" applyNumberFormat="0" applyFont="1" applyFill="1" applyBorder="1" applyAlignment="1" applyProtection="0">
      <alignment horizontal="left" vertical="center"/>
    </xf>
    <xf numFmtId="49" fontId="5" fillId="2" borderId="15" applyNumberFormat="1" applyFont="1" applyFill="1" applyBorder="1" applyAlignment="1" applyProtection="0">
      <alignment horizontal="left" vertical="center"/>
    </xf>
    <xf numFmtId="0" fontId="5" fillId="2" borderId="4" applyNumberFormat="0" applyFont="1" applyFill="1" applyBorder="1" applyAlignment="1" applyProtection="0">
      <alignment horizontal="left" vertical="top"/>
    </xf>
    <xf numFmtId="49" fontId="12" fillId="2" borderId="16" applyNumberFormat="1" applyFont="1" applyFill="1" applyBorder="1" applyAlignment="1" applyProtection="0">
      <alignment vertical="bottom"/>
    </xf>
    <xf numFmtId="61" fontId="7" fillId="3" borderId="16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5" fillId="2" borderId="4" applyNumberFormat="1" applyFont="1" applyFill="1" applyBorder="1" applyAlignment="1" applyProtection="0">
      <alignment horizontal="left" vertical="top"/>
    </xf>
    <xf numFmtId="49" fontId="11" fillId="2" borderId="4" applyNumberFormat="1" applyFont="1" applyFill="1" applyBorder="1" applyAlignment="1" applyProtection="0">
      <alignment horizontal="center" vertical="top"/>
    </xf>
    <xf numFmtId="0" fontId="0" fillId="2" borderId="4" applyNumberFormat="0" applyFont="1" applyFill="1" applyBorder="1" applyAlignment="1" applyProtection="0">
      <alignment vertical="center"/>
    </xf>
    <xf numFmtId="0" fontId="5" fillId="2" borderId="4" applyNumberFormat="0" applyFont="1" applyFill="1" applyBorder="1" applyAlignment="1" applyProtection="0">
      <alignment horizontal="right" vertical="center"/>
    </xf>
    <xf numFmtId="62" fontId="11" fillId="2" borderId="4" applyNumberFormat="1" applyFont="1" applyFill="1" applyBorder="1" applyAlignment="1" applyProtection="0">
      <alignment horizontal="left" vertical="top"/>
    </xf>
    <xf numFmtId="0" fontId="11" fillId="2" borderId="4" applyNumberFormat="0" applyFont="1" applyFill="1" applyBorder="1" applyAlignment="1" applyProtection="0">
      <alignment horizontal="center" vertical="top"/>
    </xf>
    <xf numFmtId="49" fontId="13" fillId="2" borderId="21" applyNumberFormat="1" applyFont="1" applyFill="1" applyBorder="1" applyAlignment="1" applyProtection="0">
      <alignment horizontal="center" vertical="center"/>
    </xf>
    <xf numFmtId="0" fontId="0" fillId="2" borderId="21" applyNumberFormat="0" applyFont="1" applyFill="1" applyBorder="1" applyAlignment="1" applyProtection="0">
      <alignment vertical="bottom"/>
    </xf>
    <xf numFmtId="49" fontId="7" fillId="3" borderId="4" applyNumberFormat="1" applyFont="1" applyFill="1" applyBorder="1" applyAlignment="1" applyProtection="0">
      <alignment vertical="bottom"/>
    </xf>
    <xf numFmtId="49" fontId="11" fillId="2" borderId="4" applyNumberFormat="1" applyFont="1" applyFill="1" applyBorder="1" applyAlignment="1" applyProtection="0">
      <alignment horizontal="left" vertical="bottom"/>
    </xf>
    <xf numFmtId="49" fontId="11" fillId="2" borderId="4" applyNumberFormat="1" applyFont="1" applyFill="1" applyBorder="1" applyAlignment="1" applyProtection="0">
      <alignment vertical="bottom"/>
    </xf>
    <xf numFmtId="0" fontId="5" fillId="2" borderId="4" applyNumberFormat="1" applyFont="1" applyFill="1" applyBorder="1" applyAlignment="1" applyProtection="0">
      <alignment horizontal="left" vertical="bottom"/>
    </xf>
    <xf numFmtId="49" fontId="14" fillId="2" borderId="4" applyNumberFormat="1" applyFont="1" applyFill="1" applyBorder="1" applyAlignment="1" applyProtection="0">
      <alignment vertical="bottom"/>
    </xf>
    <xf numFmtId="49" fontId="14" fillId="2" borderId="4" applyNumberFormat="1" applyFont="1" applyFill="1" applyBorder="1" applyAlignment="1" applyProtection="0">
      <alignment horizontal="left" vertical="center" wrapText="1"/>
    </xf>
    <xf numFmtId="49" fontId="11" fillId="2" borderId="7" applyNumberFormat="1" applyFont="1" applyFill="1" applyBorder="1" applyAlignment="1" applyProtection="0">
      <alignment vertical="bottom"/>
    </xf>
    <xf numFmtId="61" fontId="14" fillId="2" borderId="4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 wrapText="1"/>
    </xf>
    <xf numFmtId="49" fontId="15" fillId="2" borderId="4" applyNumberFormat="1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49" fontId="14" fillId="2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9437a"/>
      <rgbColor rgb="ff4874cb"/>
      <rgbColor rgb="ff808080"/>
      <rgbColor rgb="ff212529"/>
      <rgbColor rgb="ffff0000"/>
      <rgbColor rgb="ff907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389255</xdr:colOff>
      <xdr:row>1</xdr:row>
      <xdr:rowOff>44450</xdr:rowOff>
    </xdr:from>
    <xdr:to>
      <xdr:col>2</xdr:col>
      <xdr:colOff>236219</xdr:colOff>
      <xdr:row>2</xdr:row>
      <xdr:rowOff>270510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32155" y="171450"/>
          <a:ext cx="748665" cy="5562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outerShdw sx="100000" sy="100000" kx="0" ky="0" algn="b" rotWithShape="0" blurRad="101600" dist="50800" dir="540000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101600" dist="50800" dir="540000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dward@logopressinc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59"/>
  <sheetViews>
    <sheetView workbookViewId="0" showGridLines="0" defaultGridColor="1"/>
  </sheetViews>
  <sheetFormatPr defaultColWidth="5.5" defaultRowHeight="15.2" customHeight="1" outlineLevelRow="0" outlineLevelCol="0"/>
  <cols>
    <col min="1" max="1" width="4.5" style="1" customWidth="1"/>
    <col min="2" max="3" width="11.8516" style="1" customWidth="1"/>
    <col min="4" max="4" width="4.35156" style="1" customWidth="1"/>
    <col min="5" max="6" width="11.8516" style="1" customWidth="1"/>
    <col min="7" max="7" width="4.35156" style="1" customWidth="1"/>
    <col min="8" max="8" width="11.1719" style="1" customWidth="1"/>
    <col min="9" max="9" width="13" style="1" customWidth="1"/>
    <col min="10" max="10" width="4.5" style="1" customWidth="1"/>
    <col min="11" max="13" width="5.67188" style="1" customWidth="1"/>
    <col min="14" max="16384" width="5.5" style="1" customWidth="1"/>
  </cols>
  <sheetData>
    <row r="1" ht="10" customHeight="1">
      <c r="A1" s="2"/>
      <c r="B1" s="3"/>
      <c r="C1" s="3"/>
      <c r="D1" s="3"/>
      <c r="E1" s="2"/>
      <c r="F1" s="2"/>
      <c r="G1" s="2"/>
      <c r="H1" s="2"/>
      <c r="I1" s="2"/>
      <c r="J1" s="2"/>
      <c r="K1" s="2"/>
      <c r="L1" s="2"/>
      <c r="M1" s="2"/>
    </row>
    <row r="2" ht="26" customHeight="1">
      <c r="A2" s="4"/>
      <c r="B2" s="5"/>
      <c r="C2" s="6"/>
      <c r="D2" t="s" s="7">
        <v>0</v>
      </c>
      <c r="E2" s="8"/>
      <c r="F2" s="2"/>
      <c r="G2" s="2"/>
      <c r="H2" s="2"/>
      <c r="I2" s="2"/>
      <c r="J2" s="2"/>
      <c r="K2" s="2"/>
      <c r="L2" s="2"/>
      <c r="M2" s="2"/>
    </row>
    <row r="3" ht="26" customHeight="1">
      <c r="A3" s="4"/>
      <c r="B3" s="9"/>
      <c r="C3" s="9"/>
      <c r="D3" s="10"/>
      <c r="E3" s="3"/>
      <c r="F3" s="3"/>
      <c r="G3" s="3"/>
      <c r="H3" s="3"/>
      <c r="I3" s="2"/>
      <c r="J3" s="2"/>
      <c r="K3" s="2"/>
      <c r="L3" s="2"/>
      <c r="M3" s="2"/>
    </row>
    <row r="4" ht="15" customHeight="1">
      <c r="A4" s="4"/>
      <c r="B4" t="s" s="11">
        <v>1</v>
      </c>
      <c r="C4" t="s" s="11">
        <v>2</v>
      </c>
      <c r="D4" s="9"/>
      <c r="E4" s="9"/>
      <c r="F4" s="9"/>
      <c r="G4" s="12"/>
      <c r="H4" t="s" s="13">
        <v>3</v>
      </c>
      <c r="I4" t="s" s="14">
        <v>4</v>
      </c>
      <c r="J4" s="2"/>
      <c r="K4" s="2"/>
      <c r="L4" s="2"/>
      <c r="M4" s="2"/>
    </row>
    <row r="5" ht="15" customHeight="1">
      <c r="A5" s="4"/>
      <c r="B5" t="s" s="11">
        <v>5</v>
      </c>
      <c r="C5" t="s" s="11">
        <v>6</v>
      </c>
      <c r="D5" s="12"/>
      <c r="E5" s="12"/>
      <c r="F5" s="12"/>
      <c r="G5" s="9"/>
      <c r="H5" t="s" s="13">
        <v>7</v>
      </c>
      <c r="I5" t="s" s="14">
        <v>8</v>
      </c>
      <c r="J5" s="2"/>
      <c r="K5" s="2"/>
      <c r="L5" s="2"/>
      <c r="M5" s="2"/>
    </row>
    <row r="6" ht="15.2" customHeight="1">
      <c r="A6" s="2"/>
      <c r="B6" t="s" s="15">
        <v>9</v>
      </c>
      <c r="C6" t="s" s="11">
        <v>10</v>
      </c>
      <c r="D6" s="16"/>
      <c r="E6" s="16"/>
      <c r="F6" s="16"/>
      <c r="G6" s="9"/>
      <c r="H6" t="s" s="13">
        <v>11</v>
      </c>
      <c r="I6" t="s" s="14">
        <v>12</v>
      </c>
      <c r="J6" s="2"/>
      <c r="K6" s="2"/>
      <c r="L6" s="2"/>
      <c r="M6" s="2"/>
    </row>
    <row r="7" ht="15.2" customHeight="1">
      <c r="A7" s="4"/>
      <c r="B7" t="s" s="13">
        <v>13</v>
      </c>
      <c r="C7" t="s" s="11">
        <v>14</v>
      </c>
      <c r="D7" s="9"/>
      <c r="E7" s="16"/>
      <c r="F7" s="16"/>
      <c r="G7" s="9"/>
      <c r="H7" t="s" s="13">
        <v>15</v>
      </c>
      <c r="I7" t="s" s="14">
        <v>16</v>
      </c>
      <c r="J7" s="2"/>
      <c r="K7" s="2"/>
      <c r="L7" s="17"/>
      <c r="M7" s="2"/>
    </row>
    <row r="8" ht="16.8" customHeight="1">
      <c r="A8" s="4"/>
      <c r="B8" t="s" s="18">
        <v>17</v>
      </c>
      <c r="C8" s="19"/>
      <c r="D8" s="19"/>
      <c r="E8" t="s" s="18">
        <v>18</v>
      </c>
      <c r="F8" s="19"/>
      <c r="G8" s="19"/>
      <c r="H8" t="s" s="18">
        <v>19</v>
      </c>
      <c r="I8" s="20"/>
      <c r="J8" s="2"/>
      <c r="K8" s="2"/>
      <c r="L8" s="2"/>
      <c r="M8" s="2"/>
    </row>
    <row r="9" ht="26" customHeight="1">
      <c r="A9" s="2"/>
      <c r="B9" t="s" s="21">
        <v>20</v>
      </c>
      <c r="C9" s="22"/>
      <c r="D9" s="23"/>
      <c r="E9" t="s" s="21">
        <v>21</v>
      </c>
      <c r="F9" s="22"/>
      <c r="G9" s="23"/>
      <c r="H9" t="s" s="21">
        <v>22</v>
      </c>
      <c r="I9" t="s" s="24">
        <v>4</v>
      </c>
      <c r="J9" s="2"/>
      <c r="K9" s="2"/>
      <c r="L9" s="2"/>
      <c r="M9" s="17"/>
    </row>
    <row r="10" ht="50" customHeight="1">
      <c r="A10" s="2"/>
      <c r="B10" t="s" s="25">
        <v>23</v>
      </c>
      <c r="C10" s="2"/>
      <c r="D10" s="26"/>
      <c r="E10" t="s" s="25">
        <v>24</v>
      </c>
      <c r="F10" s="2"/>
      <c r="G10" s="26"/>
      <c r="H10" t="s" s="25">
        <v>25</v>
      </c>
      <c r="I10" t="s" s="25">
        <v>26</v>
      </c>
      <c r="J10" s="2"/>
      <c r="K10" s="2"/>
      <c r="L10" s="2"/>
      <c r="M10" s="2"/>
    </row>
    <row r="11" ht="26" customHeight="1">
      <c r="A11" s="2"/>
      <c r="B11" t="s" s="25">
        <v>27</v>
      </c>
      <c r="C11" s="2"/>
      <c r="D11" s="26"/>
      <c r="E11" t="s" s="25">
        <v>28</v>
      </c>
      <c r="F11" s="2"/>
      <c r="G11" s="26"/>
      <c r="H11" t="s" s="25">
        <v>29</v>
      </c>
      <c r="I11" t="s" s="25">
        <v>30</v>
      </c>
      <c r="J11" s="2"/>
      <c r="K11" s="2"/>
      <c r="L11" s="2"/>
      <c r="M11" s="2"/>
    </row>
    <row r="12" ht="21" customHeight="1">
      <c r="A12" s="2"/>
      <c r="B12" s="26"/>
      <c r="C12" s="2"/>
      <c r="D12" s="26"/>
      <c r="E12" s="26"/>
      <c r="F12" s="2"/>
      <c r="G12" s="26"/>
      <c r="H12" t="s" s="25">
        <v>31</v>
      </c>
      <c r="I12" t="s" s="25">
        <v>32</v>
      </c>
      <c r="J12" s="2"/>
      <c r="K12" s="2"/>
      <c r="L12" s="2"/>
      <c r="M12" s="2"/>
    </row>
    <row r="13" ht="26" customHeight="1">
      <c r="A13" s="2"/>
      <c r="B13" t="s" s="27">
        <v>33</v>
      </c>
      <c r="C13" s="2"/>
      <c r="D13" s="28"/>
      <c r="E13" t="s" s="27">
        <v>33</v>
      </c>
      <c r="F13" s="2"/>
      <c r="G13" s="28"/>
      <c r="H13" t="s" s="27">
        <v>34</v>
      </c>
      <c r="I13" s="29">
        <v>1</v>
      </c>
      <c r="J13" s="2"/>
      <c r="K13" s="2"/>
      <c r="L13" s="2"/>
      <c r="M13" s="2"/>
    </row>
    <row r="14" ht="8" customHeight="1">
      <c r="A14" s="4"/>
      <c r="B14" s="30"/>
      <c r="C14" s="31"/>
      <c r="D14" s="32"/>
      <c r="E14" s="30"/>
      <c r="F14" s="33"/>
      <c r="G14" s="30"/>
      <c r="H14" s="12"/>
      <c r="I14" s="12"/>
      <c r="J14" s="8"/>
      <c r="K14" s="2"/>
      <c r="L14" s="2"/>
      <c r="M14" s="2"/>
    </row>
    <row r="15" ht="21" customHeight="1">
      <c r="A15" s="4"/>
      <c r="B15" t="s" s="34">
        <v>35</v>
      </c>
      <c r="C15" t="s" s="35">
        <v>36</v>
      </c>
      <c r="D15" s="36"/>
      <c r="E15" s="22"/>
      <c r="F15" s="4"/>
      <c r="G15" t="s" s="35">
        <v>37</v>
      </c>
      <c r="H15" t="s" s="35">
        <v>38</v>
      </c>
      <c r="I15" t="s" s="35">
        <v>39</v>
      </c>
      <c r="J15" s="8"/>
      <c r="K15" s="2"/>
      <c r="L15" s="2"/>
      <c r="M15" s="2"/>
    </row>
    <row r="16" ht="36" customHeight="1">
      <c r="A16" s="2"/>
      <c r="B16" t="s" s="37">
        <v>40</v>
      </c>
      <c r="C16" t="s" s="38">
        <v>41</v>
      </c>
      <c r="D16" s="2"/>
      <c r="E16" s="2"/>
      <c r="F16" s="2"/>
      <c r="G16" s="39">
        <v>100</v>
      </c>
      <c r="H16" s="40">
        <v>1.22</v>
      </c>
      <c r="I16" s="41" cm="1">
        <f t="array" ref="I16">_xlfn.IFERROR(IF(G16*H16=0,"",G16*H16),"")</f>
        <v>122</v>
      </c>
      <c r="J16" s="2"/>
      <c r="K16" s="2"/>
      <c r="L16" s="2"/>
      <c r="M16" s="2"/>
    </row>
    <row r="17" ht="36" customHeight="1">
      <c r="A17" s="2"/>
      <c r="B17" s="42"/>
      <c r="C17" s="43"/>
      <c r="D17" s="2"/>
      <c r="E17" s="2"/>
      <c r="F17" s="2"/>
      <c r="G17" s="44"/>
      <c r="H17" s="45"/>
      <c r="I17" t="str" s="46" cm="1">
        <f t="array" ref="I17">_xlfn.IFERROR(IF(G17*H17=0,"",G17*H17),"")</f>
      </c>
      <c r="J17" s="2"/>
      <c r="K17" s="2"/>
      <c r="L17" s="2"/>
      <c r="M17" s="2"/>
    </row>
    <row r="18" ht="36" customHeight="1">
      <c r="A18" s="2"/>
      <c r="B18" s="42"/>
      <c r="C18" s="43"/>
      <c r="D18" s="2"/>
      <c r="E18" s="2"/>
      <c r="F18" s="2"/>
      <c r="G18" s="44"/>
      <c r="H18" s="45"/>
      <c r="I18" t="str" s="46" cm="1">
        <f t="array" ref="I18">_xlfn.IFERROR(IF(G18*H18=0,"",G18*H18),"")</f>
      </c>
      <c r="J18" s="2"/>
      <c r="K18" s="2"/>
      <c r="L18" s="2"/>
      <c r="M18" s="2"/>
    </row>
    <row r="19" ht="36" customHeight="1">
      <c r="A19" s="2"/>
      <c r="B19" s="42"/>
      <c r="C19" s="43"/>
      <c r="D19" s="2"/>
      <c r="E19" s="2"/>
      <c r="F19" s="2"/>
      <c r="G19" s="44"/>
      <c r="H19" s="45"/>
      <c r="I19" t="str" s="46" cm="1">
        <f t="array" ref="I19">_xlfn.IFERROR(IF(G19*H19=0,"",G19*H19),"")</f>
      </c>
      <c r="J19" s="2"/>
      <c r="K19" s="2"/>
      <c r="L19" s="2"/>
      <c r="M19" s="2"/>
    </row>
    <row r="20" ht="36" customHeight="1">
      <c r="A20" s="2"/>
      <c r="B20" s="42"/>
      <c r="C20" s="43"/>
      <c r="D20" s="2"/>
      <c r="E20" s="2"/>
      <c r="F20" s="2"/>
      <c r="G20" s="44"/>
      <c r="H20" s="45"/>
      <c r="I20" t="str" s="46" cm="1">
        <f t="array" ref="I20">_xlfn.IFERROR(IF(G20*H20=0,"",G20*H20),"")</f>
      </c>
      <c r="J20" s="2"/>
      <c r="K20" s="2"/>
      <c r="L20" s="2"/>
      <c r="M20" s="2"/>
    </row>
    <row r="21" ht="36" customHeight="1">
      <c r="A21" s="2"/>
      <c r="B21" s="42"/>
      <c r="C21" s="43"/>
      <c r="D21" s="2"/>
      <c r="E21" s="2"/>
      <c r="F21" s="2"/>
      <c r="G21" s="44"/>
      <c r="H21" s="45"/>
      <c r="I21" t="str" s="46" cm="1">
        <f t="array" ref="I21">_xlfn.IFERROR(IF(G21*H21=0,"",G21*H21),"")</f>
      </c>
      <c r="J21" s="2"/>
      <c r="K21" s="2"/>
      <c r="L21" s="2"/>
      <c r="M21" s="2"/>
    </row>
    <row r="22" ht="36" customHeight="1">
      <c r="A22" s="2"/>
      <c r="B22" s="42"/>
      <c r="C22" s="43"/>
      <c r="D22" s="2"/>
      <c r="E22" s="2"/>
      <c r="F22" s="2"/>
      <c r="G22" s="44"/>
      <c r="H22" s="45"/>
      <c r="I22" t="str" s="46" cm="1">
        <f t="array" ref="I22">_xlfn.IFERROR(IF(G22*H22=0,"",G22*H22),"")</f>
      </c>
      <c r="J22" s="2"/>
      <c r="K22" s="2"/>
      <c r="L22" s="2"/>
      <c r="M22" s="2"/>
    </row>
    <row r="23" ht="36" customHeight="1">
      <c r="A23" s="2"/>
      <c r="B23" s="42"/>
      <c r="C23" s="43"/>
      <c r="D23" s="2"/>
      <c r="E23" s="2"/>
      <c r="F23" s="2"/>
      <c r="G23" s="44"/>
      <c r="H23" s="45"/>
      <c r="I23" t="str" s="46" cm="1">
        <f t="array" ref="I23">_xlfn.IFERROR(IF(G23*H23=0,"",G23*H23),"")</f>
      </c>
      <c r="J23" s="2"/>
      <c r="K23" s="2"/>
      <c r="L23" s="2"/>
      <c r="M23" s="2"/>
    </row>
    <row r="24" ht="36" customHeight="1">
      <c r="A24" s="2"/>
      <c r="B24" s="42"/>
      <c r="C24" s="43"/>
      <c r="D24" s="2"/>
      <c r="E24" s="2"/>
      <c r="F24" s="2"/>
      <c r="G24" s="44"/>
      <c r="H24" s="45"/>
      <c r="I24" t="str" s="46" cm="1">
        <f t="array" ref="I24">_xlfn.IFERROR(IF(G24*H24=0,"",G24*H24),"")</f>
      </c>
      <c r="J24" s="2"/>
      <c r="K24" s="2"/>
      <c r="L24" s="2"/>
      <c r="M24" s="2"/>
    </row>
    <row r="25" ht="15.2" customHeight="1">
      <c r="A25" s="2"/>
      <c r="B25" s="3"/>
      <c r="C25" s="3"/>
      <c r="D25" s="3"/>
      <c r="E25" s="3"/>
      <c r="F25" s="3"/>
      <c r="G25" t="s" s="47">
        <v>42</v>
      </c>
      <c r="H25" t="s" s="48">
        <v>43</v>
      </c>
      <c r="I25" s="49" cm="1">
        <f t="array" ref="I25">SUM(I16:I24)</f>
        <v>122</v>
      </c>
      <c r="J25" s="2"/>
      <c r="K25" s="2"/>
      <c r="L25" s="2"/>
      <c r="M25" s="2"/>
    </row>
    <row r="26" ht="16.8" customHeight="1">
      <c r="A26" s="4"/>
      <c r="B26" t="s" s="34">
        <v>44</v>
      </c>
      <c r="C26" s="50"/>
      <c r="D26" s="50"/>
      <c r="E26" s="50"/>
      <c r="F26" s="50"/>
      <c r="G26" s="50"/>
      <c r="H26" t="s" s="51">
        <v>45</v>
      </c>
      <c r="I26" s="49">
        <v>0</v>
      </c>
      <c r="J26" s="2"/>
      <c r="K26" s="2"/>
      <c r="L26" s="2"/>
      <c r="M26" s="2"/>
    </row>
    <row r="27" ht="16.5" customHeight="1">
      <c r="A27" s="2"/>
      <c r="B27" t="s" s="21">
        <v>46</v>
      </c>
      <c r="C27" s="22"/>
      <c r="D27" s="22"/>
      <c r="E27" s="22"/>
      <c r="F27" s="22"/>
      <c r="G27" s="22"/>
      <c r="H27" t="s" s="52">
        <v>47</v>
      </c>
      <c r="I27" s="49">
        <v>50</v>
      </c>
      <c r="J27" s="2"/>
      <c r="K27" s="2"/>
      <c r="L27" s="2"/>
      <c r="M27" s="2"/>
    </row>
    <row r="28" ht="16.5" customHeight="1">
      <c r="A28" s="2"/>
      <c r="B28" t="s" s="25">
        <v>48</v>
      </c>
      <c r="C28" s="2"/>
      <c r="D28" s="2"/>
      <c r="E28" s="2"/>
      <c r="F28" s="2"/>
      <c r="G28" s="2"/>
      <c r="H28" t="s" s="52">
        <v>49</v>
      </c>
      <c r="I28" s="49">
        <v>0</v>
      </c>
      <c r="J28" s="2"/>
      <c r="K28" s="2"/>
      <c r="L28" s="2"/>
      <c r="M28" s="2"/>
    </row>
    <row r="29" ht="16.5" customHeight="1">
      <c r="A29" s="2"/>
      <c r="B29" t="s" s="25">
        <v>50</v>
      </c>
      <c r="C29" s="2"/>
      <c r="D29" s="2"/>
      <c r="E29" s="2"/>
      <c r="F29" s="2"/>
      <c r="G29" s="2"/>
      <c r="H29" t="s" s="53">
        <v>51</v>
      </c>
      <c r="I29" s="49">
        <v>0</v>
      </c>
      <c r="J29" s="2"/>
      <c r="K29" s="2"/>
      <c r="L29" s="2"/>
      <c r="M29" s="2"/>
    </row>
    <row r="30" ht="16.5" customHeight="1">
      <c r="A30" s="2"/>
      <c r="B30" t="s" s="27">
        <v>52</v>
      </c>
      <c r="C30" s="3"/>
      <c r="D30" s="3"/>
      <c r="E30" s="3"/>
      <c r="F30" s="3"/>
      <c r="G30" s="3"/>
      <c r="H30" t="s" s="54">
        <v>53</v>
      </c>
      <c r="I30" s="55">
        <v>0</v>
      </c>
      <c r="J30" s="2"/>
      <c r="K30" s="2"/>
      <c r="L30" s="2"/>
      <c r="M30" s="2"/>
    </row>
    <row r="31" ht="17.55" customHeight="1">
      <c r="A31" s="4"/>
      <c r="B31" s="56"/>
      <c r="C31" s="56"/>
      <c r="D31" s="56"/>
      <c r="E31" t="s" s="57">
        <v>54</v>
      </c>
      <c r="F31" s="56"/>
      <c r="G31" s="58"/>
      <c r="H31" t="s" s="59">
        <v>55</v>
      </c>
      <c r="I31" s="60" cm="1">
        <f t="array" ref="I31">SUM(I25:I30)</f>
        <v>172</v>
      </c>
      <c r="J31" s="8"/>
      <c r="K31" s="2"/>
      <c r="L31" s="2"/>
      <c r="M31" s="2"/>
    </row>
    <row r="32" ht="15.95" customHeight="1">
      <c r="A32" s="4"/>
      <c r="B32" s="61"/>
      <c r="C32" s="61"/>
      <c r="D32" s="61"/>
      <c r="E32" s="61"/>
      <c r="F32" s="61"/>
      <c r="G32" s="9"/>
      <c r="H32" s="62"/>
      <c r="I32" s="63"/>
      <c r="J32" s="2"/>
      <c r="K32" s="2"/>
      <c r="L32" s="2"/>
      <c r="M32" s="2"/>
    </row>
    <row r="33" ht="17.55" customHeight="1">
      <c r="A33" s="4"/>
      <c r="B33" s="64"/>
      <c r="C33" s="64"/>
      <c r="D33" s="64"/>
      <c r="E33" t="s" s="65">
        <v>56</v>
      </c>
      <c r="F33" s="64"/>
      <c r="G33" s="9"/>
      <c r="H33" t="s" s="59">
        <v>55</v>
      </c>
      <c r="I33" s="60" cm="1">
        <f t="array" ref="I33">I31*1.035</f>
        <v>178.02</v>
      </c>
      <c r="J33" s="8"/>
      <c r="K33" s="2"/>
      <c r="L33" s="2"/>
      <c r="M33" s="2"/>
    </row>
    <row r="34" ht="15.2" customHeight="1">
      <c r="A34" s="4"/>
      <c r="B34" s="66"/>
      <c r="C34" s="66"/>
      <c r="D34" s="66"/>
      <c r="E34" s="66"/>
      <c r="F34" s="66"/>
      <c r="G34" s="9"/>
      <c r="H34" t="s" s="67">
        <v>57</v>
      </c>
      <c r="I34" t="s" s="68">
        <v>58</v>
      </c>
      <c r="J34" s="8"/>
      <c r="K34" s="2"/>
      <c r="L34" s="2"/>
      <c r="M34" s="2"/>
    </row>
    <row r="35" ht="15.2" customHeight="1">
      <c r="A35" s="4"/>
      <c r="B35" s="58"/>
      <c r="C35" s="58"/>
      <c r="D35" s="58"/>
      <c r="E35" s="58"/>
      <c r="F35" s="69"/>
      <c r="G35" s="70"/>
      <c r="H35" s="71"/>
      <c r="I35" s="72"/>
      <c r="J35" s="8"/>
      <c r="K35" s="2"/>
      <c r="L35" s="2"/>
      <c r="M35" s="2"/>
    </row>
    <row r="36" ht="15.2" customHeight="1">
      <c r="A36" s="4"/>
      <c r="B36" s="58"/>
      <c r="C36" s="58"/>
      <c r="D36" s="58"/>
      <c r="E36" s="58"/>
      <c r="F36" s="69"/>
      <c r="G36" s="70"/>
      <c r="H36" s="71"/>
      <c r="I36" s="72"/>
      <c r="J36" s="8"/>
      <c r="K36" s="2"/>
      <c r="L36" s="2"/>
      <c r="M36" s="2"/>
    </row>
    <row r="37" ht="63" customHeight="1">
      <c r="A37" s="2"/>
      <c r="B37" t="s" s="73">
        <v>59</v>
      </c>
      <c r="C37" s="74"/>
      <c r="D37" s="74"/>
      <c r="E37" s="74"/>
      <c r="F37" s="74"/>
      <c r="G37" s="74"/>
      <c r="H37" s="74"/>
      <c r="I37" s="74"/>
      <c r="J37" s="2"/>
      <c r="K37" s="2"/>
      <c r="L37" s="2"/>
      <c r="M37" s="2"/>
    </row>
    <row r="38" ht="19.5" customHeight="1">
      <c r="A38" s="4"/>
      <c r="B38" t="s" s="75">
        <v>60</v>
      </c>
      <c r="C38" s="50"/>
      <c r="D38" s="50"/>
      <c r="E38" s="50"/>
      <c r="F38" s="50"/>
      <c r="G38" s="50"/>
      <c r="H38" s="50"/>
      <c r="I38" s="50"/>
      <c r="J38" s="8"/>
      <c r="K38" s="2"/>
      <c r="L38" s="2"/>
      <c r="M38" s="2"/>
    </row>
    <row r="39" ht="19.5" customHeight="1">
      <c r="A39" s="4"/>
      <c r="B39" t="s" s="13">
        <v>61</v>
      </c>
      <c r="C39" t="s" s="13">
        <v>62</v>
      </c>
      <c r="D39" s="9"/>
      <c r="E39" s="9"/>
      <c r="F39" s="9"/>
      <c r="G39" s="9"/>
      <c r="H39" s="9"/>
      <c r="I39" s="9"/>
      <c r="J39" s="8"/>
      <c r="K39" s="2"/>
      <c r="L39" s="2"/>
      <c r="M39" s="2"/>
    </row>
    <row r="40" ht="19.5" customHeight="1">
      <c r="A40" s="4"/>
      <c r="B40" t="s" s="13">
        <v>63</v>
      </c>
      <c r="C40" t="s" s="13">
        <v>64</v>
      </c>
      <c r="D40" s="9"/>
      <c r="E40" s="9"/>
      <c r="F40" s="9"/>
      <c r="G40" s="9"/>
      <c r="H40" s="9"/>
      <c r="I40" s="9"/>
      <c r="J40" s="8"/>
      <c r="K40" s="2"/>
      <c r="L40" s="2"/>
      <c r="M40" s="2"/>
    </row>
    <row r="41" ht="21" customHeight="1">
      <c r="A41" s="4"/>
      <c r="B41" t="s" s="13">
        <v>5</v>
      </c>
      <c r="C41" t="s" s="76">
        <v>65</v>
      </c>
      <c r="D41" s="77"/>
      <c r="E41" s="77"/>
      <c r="F41" s="77"/>
      <c r="G41" s="77"/>
      <c r="H41" s="77"/>
      <c r="I41" s="9"/>
      <c r="J41" s="8"/>
      <c r="K41" s="2"/>
      <c r="L41" s="2"/>
      <c r="M41" s="2"/>
    </row>
    <row r="42" ht="19.5" customHeight="1">
      <c r="A42" s="4"/>
      <c r="B42" t="s" s="13">
        <v>66</v>
      </c>
      <c r="C42" s="78">
        <v>8003349563</v>
      </c>
      <c r="D42" s="9"/>
      <c r="E42" s="9"/>
      <c r="F42" s="9"/>
      <c r="G42" s="9"/>
      <c r="H42" s="9"/>
      <c r="I42" s="9"/>
      <c r="J42" s="8"/>
      <c r="K42" s="2"/>
      <c r="L42" s="2"/>
      <c r="M42" s="2"/>
    </row>
    <row r="43" ht="19.5" customHeight="1">
      <c r="A43" s="4"/>
      <c r="B43" t="s" s="79">
        <v>67</v>
      </c>
      <c r="C43" s="9"/>
      <c r="D43" s="9"/>
      <c r="E43" s="9"/>
      <c r="F43" s="9"/>
      <c r="G43" s="9"/>
      <c r="H43" s="9"/>
      <c r="I43" s="9"/>
      <c r="J43" s="8"/>
      <c r="K43" s="2"/>
      <c r="L43" s="2"/>
      <c r="M43" s="2"/>
    </row>
    <row r="44" ht="19.5" customHeight="1">
      <c r="A44" s="4"/>
      <c r="B44" t="s" s="79">
        <v>68</v>
      </c>
      <c r="C44" s="9"/>
      <c r="D44" s="9"/>
      <c r="E44" s="9"/>
      <c r="F44" s="9"/>
      <c r="G44" s="9"/>
      <c r="H44" s="9"/>
      <c r="I44" s="9"/>
      <c r="J44" s="8"/>
      <c r="K44" s="2"/>
      <c r="L44" s="2"/>
      <c r="M44" s="2"/>
    </row>
    <row r="45" ht="31" customHeight="1">
      <c r="A45" s="4"/>
      <c r="B45" t="s" s="80">
        <v>69</v>
      </c>
      <c r="C45" s="10"/>
      <c r="D45" s="74"/>
      <c r="E45" s="74"/>
      <c r="F45" s="74"/>
      <c r="G45" s="74"/>
      <c r="H45" s="74"/>
      <c r="I45" s="74"/>
      <c r="J45" s="2"/>
      <c r="K45" s="2"/>
      <c r="L45" s="2"/>
      <c r="M45" s="2"/>
    </row>
    <row r="46" ht="19.5" customHeight="1">
      <c r="A46" s="2"/>
      <c r="B46" s="81"/>
      <c r="C46" s="9"/>
      <c r="D46" s="9"/>
      <c r="E46" s="9"/>
      <c r="F46" s="9"/>
      <c r="G46" s="9"/>
      <c r="H46" s="9"/>
      <c r="I46" s="82" cm="1">
        <f t="array" ref="I46">I31</f>
        <v>172</v>
      </c>
      <c r="J46" s="8"/>
      <c r="K46" s="2"/>
      <c r="L46" s="2"/>
      <c r="M46" s="2"/>
    </row>
    <row r="47" ht="19.5" customHeight="1">
      <c r="A47" s="4"/>
      <c r="B47" t="s" s="75">
        <v>70</v>
      </c>
      <c r="C47" s="50"/>
      <c r="D47" s="50"/>
      <c r="E47" s="50"/>
      <c r="F47" s="50"/>
      <c r="G47" s="50"/>
      <c r="H47" s="50"/>
      <c r="I47" s="50"/>
      <c r="J47" s="8"/>
      <c r="K47" s="2"/>
      <c r="L47" s="2"/>
      <c r="M47" s="2"/>
    </row>
    <row r="48" ht="19.5" customHeight="1">
      <c r="A48" s="4"/>
      <c r="B48" t="s" s="11">
        <v>71</v>
      </c>
      <c r="C48" s="9"/>
      <c r="D48" s="9"/>
      <c r="E48" s="9"/>
      <c r="F48" s="9"/>
      <c r="G48" s="9"/>
      <c r="H48" s="9"/>
      <c r="I48" s="9"/>
      <c r="J48" s="8"/>
      <c r="K48" s="2"/>
      <c r="L48" s="2"/>
      <c r="M48" s="2"/>
    </row>
    <row r="49" ht="19.5" customHeight="1">
      <c r="A49" s="4"/>
      <c r="B49" t="s" s="11">
        <v>72</v>
      </c>
      <c r="C49" s="11"/>
      <c r="D49" s="11"/>
      <c r="E49" s="11"/>
      <c r="F49" s="11"/>
      <c r="G49" s="11"/>
      <c r="H49" s="11"/>
      <c r="I49" s="11"/>
      <c r="J49" s="8"/>
      <c r="K49" s="2"/>
      <c r="L49" s="2"/>
      <c r="M49" s="2"/>
    </row>
    <row r="50" ht="19.5" customHeight="1">
      <c r="A50" s="4"/>
      <c r="B50" t="s" s="11">
        <v>73</v>
      </c>
      <c r="C50" s="9"/>
      <c r="D50" s="9"/>
      <c r="E50" s="9"/>
      <c r="F50" s="9"/>
      <c r="G50" s="9"/>
      <c r="H50" s="9"/>
      <c r="I50" s="9"/>
      <c r="J50" s="8"/>
      <c r="K50" s="2"/>
      <c r="L50" s="2"/>
      <c r="M50" s="2"/>
    </row>
    <row r="51" ht="19.5" customHeight="1">
      <c r="A51" s="4"/>
      <c r="B51" t="s" s="11">
        <v>74</v>
      </c>
      <c r="C51" s="9"/>
      <c r="D51" s="9"/>
      <c r="E51" s="9"/>
      <c r="F51" s="9"/>
      <c r="G51" s="9"/>
      <c r="H51" s="9"/>
      <c r="I51" s="9"/>
      <c r="J51" s="8"/>
      <c r="K51" s="2"/>
      <c r="L51" s="2"/>
      <c r="M51" s="2"/>
    </row>
    <row r="52" ht="19.25" customHeight="1">
      <c r="A52" s="4"/>
      <c r="B52" t="s" s="11">
        <v>75</v>
      </c>
      <c r="C52" s="9"/>
      <c r="D52" s="9"/>
      <c r="E52" s="9"/>
      <c r="F52" s="9"/>
      <c r="G52" s="9"/>
      <c r="H52" s="9"/>
      <c r="I52" s="9"/>
      <c r="J52" s="8"/>
      <c r="K52" s="2"/>
      <c r="L52" s="2"/>
      <c r="M52" s="2"/>
    </row>
    <row r="53" ht="19.5" customHeight="1">
      <c r="A53" s="4"/>
      <c r="B53" t="s" s="11">
        <v>76</v>
      </c>
      <c r="C53" s="9"/>
      <c r="D53" s="9"/>
      <c r="E53" s="9"/>
      <c r="F53" s="9"/>
      <c r="G53" s="9"/>
      <c r="H53" s="9"/>
      <c r="I53" s="9"/>
      <c r="J53" s="8"/>
      <c r="K53" s="2"/>
      <c r="L53" s="2"/>
      <c r="M53" s="2"/>
    </row>
    <row r="54" ht="19.5" customHeight="1">
      <c r="A54" s="2"/>
      <c r="B54" t="s" s="15">
        <v>77</v>
      </c>
      <c r="C54" s="9"/>
      <c r="D54" s="9"/>
      <c r="E54" s="9"/>
      <c r="F54" s="9"/>
      <c r="G54" s="9"/>
      <c r="H54" s="9"/>
      <c r="I54" s="82" cm="1">
        <f t="array" ref="I54">I31</f>
        <v>172</v>
      </c>
      <c r="J54" s="8"/>
      <c r="K54" s="2"/>
      <c r="L54" s="2"/>
      <c r="M54" s="2"/>
    </row>
    <row r="55" ht="19.5" customHeight="1">
      <c r="A55" s="4"/>
      <c r="B55" t="s" s="75">
        <v>78</v>
      </c>
      <c r="C55" s="50"/>
      <c r="D55" s="50"/>
      <c r="E55" s="50"/>
      <c r="F55" s="50"/>
      <c r="G55" s="50"/>
      <c r="H55" s="50"/>
      <c r="I55" s="50"/>
      <c r="J55" s="8"/>
      <c r="K55" s="2"/>
      <c r="L55" s="2"/>
      <c r="M55" s="2"/>
    </row>
    <row r="56" ht="26" customHeight="1">
      <c r="A56" s="4"/>
      <c r="B56" t="s" s="83">
        <v>79</v>
      </c>
      <c r="C56" s="9"/>
      <c r="D56" s="9"/>
      <c r="E56" s="9"/>
      <c r="F56" s="9"/>
      <c r="G56" s="9"/>
      <c r="H56" s="9"/>
      <c r="I56" s="9"/>
      <c r="J56" s="8"/>
      <c r="K56" s="2"/>
      <c r="L56" s="2"/>
      <c r="M56" s="2"/>
    </row>
    <row r="57" ht="19.5" customHeight="1">
      <c r="A57" s="4"/>
      <c r="B57" t="s" s="11">
        <v>80</v>
      </c>
      <c r="C57" s="9"/>
      <c r="D57" s="9"/>
      <c r="E57" s="9"/>
      <c r="F57" s="9"/>
      <c r="G57" s="9"/>
      <c r="H57" s="9"/>
      <c r="I57" s="9"/>
      <c r="J57" s="8"/>
      <c r="K57" s="2"/>
      <c r="L57" s="2"/>
      <c r="M57" s="2"/>
    </row>
    <row r="58" ht="15.2" customHeight="1">
      <c r="A58" s="4"/>
      <c r="B58" s="84"/>
      <c r="C58" s="36"/>
      <c r="D58" s="22"/>
      <c r="E58" s="22"/>
      <c r="F58" s="22"/>
      <c r="G58" s="22"/>
      <c r="H58" s="85"/>
      <c r="I58" s="82" cm="1">
        <f t="array" ref="I58">I33</f>
        <v>178.02</v>
      </c>
      <c r="J58" s="8"/>
      <c r="K58" s="2"/>
      <c r="L58" s="2"/>
      <c r="M58" s="2"/>
    </row>
    <row r="59" ht="15.2" customHeight="1">
      <c r="A59" s="2"/>
      <c r="B59" s="22"/>
      <c r="C59" s="2"/>
      <c r="D59" s="2"/>
      <c r="E59" s="2"/>
      <c r="F59" s="2"/>
      <c r="G59" s="2"/>
      <c r="H59" t="s" s="86">
        <v>81</v>
      </c>
      <c r="I59" s="22"/>
      <c r="J59" s="2"/>
      <c r="K59" s="2"/>
      <c r="L59" s="2"/>
      <c r="M59" s="2"/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ref="C7" r:id="rId1" location="" tooltip="" display="Edward@logopressinc.com"/>
  </hyperlinks>
  <pageMargins left="0.25" right="0.25" top="0.75" bottom="0.75" header="0.298611" footer="0.298611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