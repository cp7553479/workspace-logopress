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" sheetId="1" state="visible" r:id="rId1"/>
  </sheets>
  <definedNames>
    <definedName name="valuevx">42.314159</definedName>
    <definedName name="_xlnm.Print_Area" localSheetId="0">'PI'!$A$1:$J$59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40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389255</colOff>
      <row>1</row>
      <rowOff>44450</rowOff>
    </from>
    <to>
      <col>1</col>
      <colOff>1137920</colOff>
      <row>2</row>
      <rowOff>270510</rowOff>
    </to>
    <pic>
      <nvPicPr>
        <cNvPr id="2" name="图片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831215" y="171450"/>
          <a:ext cx="748665" cy="55626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Edward@logopressinc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59"/>
  <sheetViews>
    <sheetView tabSelected="1" view="pageBreakPreview" topLeftCell="A11" zoomScale="114" zoomScaleNormal="100" workbookViewId="0">
      <selection activeCell="H18" sqref="H18"/>
    </sheetView>
  </sheetViews>
  <sheetFormatPr baseColWidth="8" defaultColWidth="8.33653846153846" defaultRowHeight="15.2"/>
  <cols>
    <col width="6.69230769230769" customWidth="1" style="28" min="1" max="1"/>
    <col width="17.6923076923077" customWidth="1" style="28" min="2" max="3"/>
    <col width="6.5" customWidth="1" style="28" min="4" max="4"/>
    <col width="17.6923076923077" customWidth="1" style="28" min="5" max="6"/>
    <col width="6.5" customWidth="1" style="28" min="7" max="7"/>
    <col width="16.6923076923077" customWidth="1" style="28" min="8" max="8"/>
    <col width="19.3942307692308" customWidth="1" style="28" min="9" max="9"/>
    <col width="6.69230769230769" customWidth="1" style="28" min="10" max="10"/>
    <col width="8.5" customWidth="1" style="28" min="11" max="246"/>
    <col width="8.33653846153846" customWidth="1" style="28" min="247" max="16384"/>
  </cols>
  <sheetData>
    <row r="1" ht="10" customHeight="1" s="63"/>
    <row r="2" ht="26" customHeight="1" s="63">
      <c r="B2" s="3" t="n"/>
      <c r="C2" s="4" t="n"/>
      <c r="D2" s="5" t="inlineStr">
        <is>
          <t>PROFORMA INVOICE</t>
        </is>
      </c>
      <c r="E2" s="64" t="n"/>
      <c r="F2" s="64" t="n"/>
      <c r="G2" s="64" t="n"/>
      <c r="H2" s="64" t="n"/>
      <c r="I2" s="64" t="n"/>
    </row>
    <row r="3" ht="26" customHeight="1" s="63">
      <c r="B3" s="6" t="n"/>
      <c r="C3" s="6" t="n"/>
      <c r="D3" s="64" t="n"/>
      <c r="E3" s="64" t="n"/>
      <c r="F3" s="64" t="n"/>
      <c r="G3" s="64" t="n"/>
      <c r="H3" s="64" t="n"/>
      <c r="I3" s="64" t="n"/>
    </row>
    <row r="4" ht="15" customHeight="1" s="63">
      <c r="B4" s="6" t="inlineStr">
        <is>
          <t>Address:</t>
        </is>
      </c>
      <c r="C4" s="6" t="inlineStr">
        <is>
          <t>201 N WOLCOTT ST STE 203 Casper WY 82601  LogoPress Trading Inc</t>
        </is>
      </c>
      <c r="D4" s="6" t="n"/>
      <c r="E4" s="6" t="n"/>
      <c r="F4" s="6" t="n"/>
      <c r="G4" s="7" t="n"/>
      <c r="H4" s="8" t="inlineStr">
        <is>
          <t>DATE</t>
        </is>
      </c>
      <c r="I4" s="65" t="inlineStr">
        <is>
          <t>2026/07/25</t>
        </is>
      </c>
    </row>
    <row r="5" ht="15" customHeight="1" s="63">
      <c r="B5" s="6" t="inlineStr">
        <is>
          <t>Tel:</t>
        </is>
      </c>
      <c r="C5" s="6" t="inlineStr">
        <is>
          <t>(307) 2072111</t>
        </is>
      </c>
      <c r="D5" s="7" t="n"/>
      <c r="E5" s="7" t="n"/>
      <c r="F5" s="7" t="n"/>
      <c r="G5" s="6" t="n"/>
      <c r="H5" s="8" t="inlineStr">
        <is>
          <t>PI #</t>
        </is>
      </c>
      <c r="I5" s="10" t="inlineStr">
        <is>
          <t>LP26072501</t>
        </is>
      </c>
    </row>
    <row r="6">
      <c r="B6" s="11" t="inlineStr">
        <is>
          <t>Attn:</t>
        </is>
      </c>
      <c r="C6" s="6" t="inlineStr">
        <is>
          <t>Edward</t>
        </is>
      </c>
      <c r="D6" s="12" t="n"/>
      <c r="E6" s="12" t="n"/>
      <c r="F6" s="12" t="n"/>
      <c r="G6" s="6" t="n"/>
      <c r="H6" s="8" t="inlineStr">
        <is>
          <t>PO #</t>
        </is>
      </c>
      <c r="I6" s="10" t="inlineStr">
        <is>
          <t>B5887</t>
        </is>
      </c>
    </row>
    <row r="7">
      <c r="B7" s="8" t="inlineStr">
        <is>
          <t>Email:</t>
        </is>
      </c>
      <c r="C7" s="6" t="inlineStr">
        <is>
          <t>Edward@logopressinc.com</t>
        </is>
      </c>
      <c r="D7" s="6" t="n"/>
      <c r="E7" s="12" t="n"/>
      <c r="F7" s="12" t="n"/>
      <c r="G7" s="6" t="n"/>
      <c r="H7" s="8" t="inlineStr">
        <is>
          <t>PAYMENT TERM</t>
        </is>
      </c>
      <c r="I7" s="10" t="inlineStr">
        <is>
          <t>100% Prepayment</t>
        </is>
      </c>
      <c r="L7" s="13" t="n"/>
    </row>
    <row r="8" ht="16.8" customHeight="1" s="63">
      <c r="B8" s="14" t="inlineStr">
        <is>
          <t>CUSTOMER</t>
        </is>
      </c>
      <c r="C8" s="14" t="n"/>
      <c r="D8" s="14" t="n"/>
      <c r="E8" s="14" t="inlineStr">
        <is>
          <t>SHIP TO</t>
        </is>
      </c>
      <c r="F8" s="14" t="n"/>
      <c r="G8" s="14" t="n"/>
      <c r="H8" s="14" t="inlineStr">
        <is>
          <t>SHIPPING DETAILS</t>
        </is>
      </c>
    </row>
    <row r="9" ht="26" customHeight="1" s="63">
      <c r="B9" s="15" t="inlineStr">
        <is>
          <t>Andrew Birnbaum LLC (DBA www.bboyz.pro)</t>
        </is>
      </c>
      <c r="D9" s="15" t="n"/>
      <c r="E9" s="15" t="inlineStr">
        <is>
          <t>Andrew Birnbaum LLC / BBOYZ.pro</t>
        </is>
      </c>
      <c r="G9" s="16" t="n"/>
      <c r="H9" s="15" t="inlineStr">
        <is>
          <t>Order Date</t>
        </is>
      </c>
      <c r="I9" s="66" t="inlineStr">
        <is>
          <t>2026/07/25</t>
        </is>
      </c>
      <c r="M9" s="13" t="n"/>
    </row>
    <row r="10" ht="50" customHeight="1" s="63">
      <c r="B10" s="15" t="inlineStr">
        <is>
          <t>84 Sturbridge Circle, Wayne, NJ 07470</t>
        </is>
      </c>
      <c r="D10" s="15" t="n"/>
      <c r="E10" s="15" t="inlineStr">
        <is>
          <t>5086 S Linden Dr, Englewood, CO 80110</t>
        </is>
      </c>
      <c r="G10" s="16" t="n"/>
      <c r="H10" s="15" t="inlineStr">
        <is>
          <t>Ship Date</t>
        </is>
      </c>
      <c r="I10" s="67" t="inlineStr">
        <is>
          <t>2026/08/04</t>
        </is>
      </c>
    </row>
    <row r="11" ht="26" customHeight="1" s="63">
      <c r="B11" s="15" t="inlineStr">
        <is>
          <t>Andrew Birnbaum</t>
        </is>
      </c>
      <c r="D11" s="15" t="n"/>
      <c r="E11" s="15" t="inlineStr">
        <is>
          <t>Matt Anderson</t>
        </is>
      </c>
      <c r="G11" s="16" t="n"/>
      <c r="H11" s="15" t="inlineStr">
        <is>
          <t>In-Hands Date</t>
        </is>
      </c>
      <c r="I11" s="67" t="inlineStr">
        <is>
          <t>2026/08/12</t>
        </is>
      </c>
    </row>
    <row r="12" ht="21" customHeight="1" s="63">
      <c r="B12" s="15" t="inlineStr"/>
      <c r="D12" s="15" t="n"/>
      <c r="E12" s="15" t="inlineStr"/>
      <c r="G12" s="16" t="n"/>
      <c r="H12" s="15" t="inlineStr">
        <is>
          <t>Freight Type</t>
        </is>
      </c>
      <c r="I12" s="15" t="inlineStr">
        <is>
          <t>Sea Shipping</t>
        </is>
      </c>
    </row>
    <row r="13" ht="26" customHeight="1" s="63">
      <c r="B13" s="15" t="inlineStr">
        <is>
          <t>andy@bboyzcustomprinting.com</t>
        </is>
      </c>
      <c r="D13" s="15" t="n"/>
      <c r="E13" s="15" t="inlineStr">
        <is>
          <t>andy@bboyzcustomprinting.com</t>
        </is>
      </c>
      <c r="G13" s="16" t="n"/>
      <c r="H13" s="15" t="inlineStr">
        <is>
          <t>Total Packages</t>
        </is>
      </c>
      <c r="I13" s="15" t="n">
        <v>1</v>
      </c>
    </row>
    <row r="14" ht="6" customHeight="1" s="63">
      <c r="B14" s="19" t="n"/>
      <c r="C14" s="64" t="n"/>
      <c r="D14" s="20" t="n"/>
      <c r="E14" s="19" t="n"/>
      <c r="F14" s="64" t="n"/>
      <c r="G14" s="19" t="n"/>
      <c r="H14" s="8" t="n"/>
      <c r="I14" s="8" t="n"/>
    </row>
    <row r="15" ht="21" customHeight="1" s="63">
      <c r="B15" s="21" t="inlineStr">
        <is>
          <t>Product Number</t>
        </is>
      </c>
      <c r="C15" s="22" t="inlineStr">
        <is>
          <t>DESCRIPTION</t>
        </is>
      </c>
      <c r="G15" s="22" t="inlineStr">
        <is>
          <t>QTY</t>
        </is>
      </c>
      <c r="H15" s="22" t="inlineStr">
        <is>
          <t>UNIT PRICE</t>
        </is>
      </c>
      <c r="I15" s="22" t="inlineStr">
        <is>
          <t>TOTAL AMOUNT</t>
        </is>
      </c>
    </row>
    <row r="16" ht="36" customHeight="1" s="63">
      <c r="B16" s="23" t="inlineStr">
        <is>
          <t>LP0181</t>
        </is>
      </c>
      <c r="C16" s="24" t="inlineStr">
        <is>
          <t>Double Pocket Plastic Folder - with fasteners; Black; White imprint</t>
        </is>
      </c>
      <c r="D16" s="64" t="n"/>
      <c r="E16" s="64" t="n"/>
      <c r="F16" s="64" t="n"/>
      <c r="G16" s="25" t="n">
        <v>100</v>
      </c>
      <c r="H16" s="68" t="n">
        <v>1.22</v>
      </c>
      <c r="I16" s="27">
        <f>IFERROR(IF(G16*H16=0,"",G16*H16),"")</f>
        <v/>
      </c>
    </row>
    <row r="17" ht="36" customHeight="1" s="63">
      <c r="B17" s="23" t="n"/>
      <c r="C17" s="24" t="n"/>
      <c r="D17" s="64" t="n"/>
      <c r="E17" s="64" t="n"/>
      <c r="F17" s="64" t="n"/>
      <c r="G17" s="25" t="n"/>
      <c r="H17" s="68" t="n"/>
      <c r="I17" s="27">
        <f>IFERROR(IF(G17*H17=0,"",G17*H17),"")</f>
        <v/>
      </c>
    </row>
    <row r="18" ht="36" customHeight="1" s="63">
      <c r="B18" s="23" t="n"/>
      <c r="C18" s="24" t="n"/>
      <c r="D18" s="64" t="n"/>
      <c r="E18" s="64" t="n"/>
      <c r="F18" s="64" t="n"/>
      <c r="G18" s="25" t="n"/>
      <c r="H18" s="68" t="n"/>
      <c r="I18" s="27">
        <f>IFERROR(IF(G18*H18=0,"",G18*H18),"")</f>
        <v/>
      </c>
    </row>
    <row r="19" ht="36" customHeight="1" s="63">
      <c r="B19" s="23" t="n"/>
      <c r="C19" s="24" t="n"/>
      <c r="D19" s="64" t="n"/>
      <c r="E19" s="64" t="n"/>
      <c r="F19" s="64" t="n"/>
      <c r="G19" s="25" t="n"/>
      <c r="H19" s="68" t="n"/>
      <c r="I19" s="27">
        <f>IFERROR(IF(G19*H19=0,"",G19*H19),"")</f>
        <v/>
      </c>
    </row>
    <row r="20" ht="36" customHeight="1" s="63">
      <c r="B20" s="23" t="n"/>
      <c r="C20" s="24" t="n"/>
      <c r="D20" s="64" t="n"/>
      <c r="E20" s="64" t="n"/>
      <c r="F20" s="64" t="n"/>
      <c r="G20" s="25" t="n"/>
      <c r="H20" s="68" t="n"/>
      <c r="I20" s="27">
        <f>IFERROR(IF(G20*H20=0,"",G20*H20),"")</f>
        <v/>
      </c>
    </row>
    <row r="21" ht="36" customHeight="1" s="63">
      <c r="B21" s="23" t="n"/>
      <c r="C21" s="24" t="n"/>
      <c r="D21" s="64" t="n"/>
      <c r="E21" s="64" t="n"/>
      <c r="F21" s="64" t="n"/>
      <c r="G21" s="25" t="n"/>
      <c r="H21" s="68" t="n"/>
      <c r="I21" s="27">
        <f>IFERROR(IF(G21*H21=0,"",G21*H21),"")</f>
        <v/>
      </c>
    </row>
    <row r="22" ht="36" customHeight="1" s="63">
      <c r="B22" s="23" t="n"/>
      <c r="C22" s="24" t="n"/>
      <c r="D22" s="64" t="n"/>
      <c r="E22" s="64" t="n"/>
      <c r="F22" s="64" t="n"/>
      <c r="G22" s="25" t="n"/>
      <c r="H22" s="68" t="n"/>
      <c r="I22" s="27">
        <f>IFERROR(IF(G22*H22=0,"",G22*H22),"")</f>
        <v/>
      </c>
    </row>
    <row r="23" ht="36" customHeight="1" s="63">
      <c r="B23" s="23" t="n"/>
      <c r="C23" s="24" t="n"/>
      <c r="D23" s="64" t="n"/>
      <c r="E23" s="64" t="n"/>
      <c r="F23" s="64" t="n"/>
      <c r="G23" s="25" t="n"/>
      <c r="H23" s="68" t="n"/>
      <c r="I23" s="27">
        <f>IFERROR(IF(G23*H23=0,"",G23*H23),"")</f>
        <v/>
      </c>
    </row>
    <row r="24" ht="36" customHeight="1" s="63">
      <c r="B24" s="23" t="n"/>
      <c r="C24" s="24" t="n"/>
      <c r="D24" s="64" t="n"/>
      <c r="E24" s="64" t="n"/>
      <c r="F24" s="64" t="n"/>
      <c r="G24" s="25" t="n"/>
      <c r="H24" s="68" t="n"/>
      <c r="I24" s="27">
        <f>IFERROR(IF(G24*H24=0,"",G24*H24),"")</f>
        <v/>
      </c>
    </row>
    <row r="25">
      <c r="B25" s="28" t="n"/>
      <c r="C25" s="28" t="n"/>
      <c r="D25" s="28" t="n"/>
      <c r="E25" s="28" t="n"/>
      <c r="F25" s="28" t="n"/>
      <c r="G25" s="29" t="inlineStr">
        <is>
          <t>[42]</t>
        </is>
      </c>
      <c r="H25" s="30" t="inlineStr">
        <is>
          <t>Subtotal</t>
        </is>
      </c>
      <c r="I25" s="69">
        <f>SUM(I16:I24)</f>
        <v/>
      </c>
    </row>
    <row r="26" ht="16.8" customHeight="1" s="63">
      <c r="B26" s="21" t="inlineStr">
        <is>
          <t>ADDITIONAL DETAILS</t>
        </is>
      </c>
      <c r="C26" s="32" t="n"/>
      <c r="D26" s="32" t="n"/>
      <c r="E26" s="32" t="n"/>
      <c r="F26" s="32" t="n"/>
      <c r="G26" s="32" t="n"/>
      <c r="H26" s="28" t="inlineStr">
        <is>
          <t>Freight</t>
        </is>
      </c>
      <c r="I26" s="69" t="n">
        <v>0</v>
      </c>
    </row>
    <row r="27" ht="16.5" customHeight="1" s="63">
      <c r="B27" s="16" t="inlineStr">
        <is>
          <t>Item Material:</t>
        </is>
      </c>
      <c r="C27" s="64" t="n"/>
      <c r="D27" s="64" t="n"/>
      <c r="E27" s="64" t="n"/>
      <c r="F27" s="64" t="n"/>
      <c r="H27" s="28" t="inlineStr">
        <is>
          <t>Set-up fee</t>
        </is>
      </c>
      <c r="I27" s="69" t="n">
        <v>50</v>
      </c>
    </row>
    <row r="28" ht="16.5" customHeight="1" s="63">
      <c r="B28" s="16" t="inlineStr">
        <is>
          <t>Item Color:</t>
        </is>
      </c>
      <c r="C28" s="64" t="n"/>
      <c r="D28" s="64" t="n"/>
      <c r="E28" s="64" t="n"/>
      <c r="F28" s="64" t="n"/>
      <c r="H28" s="28" t="inlineStr">
        <is>
          <t>Insurance</t>
        </is>
      </c>
      <c r="I28" s="69" t="n">
        <v>0</v>
      </c>
    </row>
    <row r="29" ht="16.5" customHeight="1" s="63">
      <c r="B29" s="16" t="inlineStr">
        <is>
          <t xml:space="preserve">Imprint Method: </t>
        </is>
      </c>
      <c r="C29" s="64" t="n"/>
      <c r="D29" s="64" t="n"/>
      <c r="E29" s="64" t="n"/>
      <c r="F29" s="64" t="n"/>
      <c r="H29" s="34" t="inlineStr">
        <is>
          <t>Inspection/Cert.</t>
        </is>
      </c>
      <c r="I29" s="69" t="n">
        <v>0</v>
      </c>
    </row>
    <row r="30" ht="16.5" customHeight="1" s="63">
      <c r="B30" s="15" t="inlineStr">
        <is>
          <t xml:space="preserve">Logo color: </t>
        </is>
      </c>
      <c r="H30" s="28" t="inlineStr">
        <is>
          <t>Other (specify)</t>
        </is>
      </c>
      <c r="I30" s="69" t="n">
        <v>0</v>
      </c>
    </row>
    <row r="31" ht="17.55" customHeight="1" s="63">
      <c r="B31" s="35" t="n"/>
      <c r="C31" s="35" t="n"/>
      <c r="D31" s="35" t="n"/>
      <c r="E31" s="35" t="inlineStr">
        <is>
          <t>Pay by CHECK or Wire transfer</t>
        </is>
      </c>
      <c r="F31" s="35" t="n"/>
      <c r="G31" s="36" t="n"/>
      <c r="H31" s="37" t="inlineStr">
        <is>
          <t>TOTAL</t>
        </is>
      </c>
      <c r="I31" s="70">
        <f>SUM(I25:I30)</f>
        <v/>
      </c>
    </row>
    <row r="32" ht="15.95" customHeight="1" s="63">
      <c r="B32" s="59" t="n"/>
      <c r="C32" s="59" t="n"/>
      <c r="D32" s="59" t="n"/>
      <c r="F32" s="59" t="n"/>
      <c r="G32" s="59" t="n"/>
    </row>
    <row r="33" ht="17.55" customHeight="1" s="63">
      <c r="B33" s="40" t="n"/>
      <c r="C33" s="40" t="n"/>
      <c r="D33" s="40" t="n"/>
      <c r="E33" s="40" t="inlineStr">
        <is>
          <t>Pay by Credit Card</t>
        </is>
      </c>
      <c r="F33" s="40" t="n"/>
      <c r="G33" s="59" t="n"/>
      <c r="H33" s="37" t="inlineStr">
        <is>
          <t>TOTAL</t>
        </is>
      </c>
      <c r="I33" s="70">
        <f>I31*1.035</f>
        <v/>
      </c>
    </row>
    <row r="34">
      <c r="B34" s="59" t="n"/>
      <c r="C34" s="59" t="n"/>
      <c r="D34" s="59" t="n"/>
      <c r="E34" s="59" t="n"/>
      <c r="F34" s="59" t="n"/>
      <c r="G34" s="59" t="n"/>
      <c r="H34" s="36" t="inlineStr">
        <is>
          <t>Currency</t>
        </is>
      </c>
      <c r="I34" s="41" t="inlineStr">
        <is>
          <t>USD</t>
        </is>
      </c>
    </row>
    <row r="35">
      <c r="B35" s="36" t="n"/>
      <c r="C35" s="36" t="n"/>
      <c r="D35" s="36" t="n"/>
      <c r="E35" s="36" t="n"/>
      <c r="F35" s="45" t="n"/>
      <c r="G35" s="43" t="n"/>
      <c r="H35" s="44" t="n"/>
      <c r="I35" s="41" t="n"/>
    </row>
    <row r="36">
      <c r="B36" s="36" t="n"/>
      <c r="C36" s="36" t="n"/>
      <c r="D36" s="36" t="n"/>
      <c r="E36" s="36" t="n"/>
      <c r="F36" s="45" t="n"/>
      <c r="G36" s="43" t="n"/>
      <c r="H36" s="44" t="n"/>
      <c r="I36" s="41" t="n"/>
    </row>
    <row r="37" ht="63" customHeight="1" s="63">
      <c r="B37" s="46" t="inlineStr">
        <is>
          <t>Payment Information and Notes</t>
        </is>
      </c>
    </row>
    <row r="38" ht="19.5" customFormat="1" customHeight="1" s="1">
      <c r="B38" s="32" t="inlineStr">
        <is>
          <t>1. Pay Via Check</t>
        </is>
      </c>
      <c r="C38" s="32" t="n"/>
      <c r="D38" s="32" t="n"/>
      <c r="E38" s="32" t="n"/>
      <c r="F38" s="32" t="n"/>
      <c r="G38" s="32" t="n"/>
      <c r="H38" s="32" t="n"/>
      <c r="I38" s="32" t="n"/>
    </row>
    <row r="39" ht="19.5" customFormat="1" customHeight="1" s="1">
      <c r="B39" s="47" t="inlineStr">
        <is>
          <t>Company Name:</t>
        </is>
      </c>
      <c r="C39" s="48" t="inlineStr">
        <is>
          <t>LogoPress Trading Inc</t>
        </is>
      </c>
      <c r="D39" s="49" t="n"/>
      <c r="E39" s="49" t="n"/>
      <c r="F39" s="49" t="n"/>
      <c r="G39" s="49" t="n"/>
      <c r="H39" s="49" t="n"/>
      <c r="I39" s="49" t="n"/>
    </row>
    <row r="40" ht="19.5" customFormat="1" customHeight="1" s="1">
      <c r="B40" s="47" t="inlineStr">
        <is>
          <t>Mailing Address:</t>
        </is>
      </c>
      <c r="C40" s="48" t="inlineStr">
        <is>
          <t>6118 Batesole Dr Santa Rosa, CA 95404-9504</t>
        </is>
      </c>
      <c r="D40" s="49" t="n"/>
      <c r="E40" s="49" t="n"/>
      <c r="F40" s="49" t="n"/>
      <c r="G40" s="49" t="n"/>
      <c r="H40" s="49" t="n"/>
      <c r="I40" s="49" t="n"/>
    </row>
    <row r="41" ht="21" customFormat="1" customHeight="1" s="1">
      <c r="B41" s="47" t="inlineStr">
        <is>
          <t>Tel:</t>
        </is>
      </c>
      <c r="C41" s="50" t="inlineStr">
        <is>
          <t>(307)3339062</t>
        </is>
      </c>
      <c r="D41" s="51" t="n"/>
      <c r="E41" s="51" t="n"/>
      <c r="F41" s="51" t="n"/>
      <c r="G41" s="51" t="n"/>
      <c r="H41" s="51" t="n"/>
      <c r="I41" s="49" t="n"/>
    </row>
    <row r="42" ht="19.5" customFormat="1" customHeight="1" s="1">
      <c r="B42" s="47" t="inlineStr">
        <is>
          <t>Account Number:</t>
        </is>
      </c>
      <c r="C42" s="48" t="n">
        <v>8003349563</v>
      </c>
      <c r="D42" s="49" t="n"/>
      <c r="E42" s="49" t="n"/>
      <c r="F42" s="49" t="n"/>
      <c r="G42" s="49" t="n"/>
      <c r="H42" s="49" t="n"/>
      <c r="I42" s="49" t="n"/>
    </row>
    <row r="43" ht="19.5" customFormat="1" customHeight="1" s="1">
      <c r="B43" s="52" t="inlineStr">
        <is>
          <t>Note:</t>
        </is>
      </c>
      <c r="C43" s="49" t="n"/>
      <c r="D43" s="49" t="n"/>
      <c r="E43" s="49" t="n"/>
      <c r="F43" s="49" t="n"/>
      <c r="G43" s="49" t="n"/>
      <c r="H43" s="49" t="n"/>
      <c r="I43" s="49" t="n"/>
    </row>
    <row r="44" ht="19.5" customFormat="1" customHeight="1" s="1">
      <c r="B44" s="52" t="inlineStr">
        <is>
          <t>1) Please write sales representative’s name and PO#/PI# on the check so the order can be easily recognized.</t>
        </is>
      </c>
      <c r="C44" s="49" t="n"/>
      <c r="D44" s="49" t="n"/>
      <c r="E44" s="49" t="n"/>
      <c r="F44" s="49" t="n"/>
      <c r="G44" s="49" t="n"/>
      <c r="H44" s="49" t="n"/>
      <c r="I44" s="49" t="n"/>
    </row>
    <row r="45" ht="31" customFormat="1" customHeight="1" s="1">
      <c r="B45" s="53" t="inlineStr">
        <is>
          <t>2) Please email the scanned original check to your sales rep before shipping. Avoid selecting check as a payment method if the scan is unavailable.</t>
        </is>
      </c>
    </row>
    <row r="46" ht="19.5" customFormat="1" customHeight="1" s="1">
      <c r="B46" s="54" t="n"/>
      <c r="C46" s="55" t="n"/>
      <c r="D46" s="55" t="n"/>
      <c r="E46" s="55" t="n"/>
      <c r="F46" s="55" t="n"/>
      <c r="G46" s="55" t="n"/>
      <c r="H46" s="55" t="n"/>
      <c r="I46" s="71">
        <f>I31</f>
        <v/>
      </c>
    </row>
    <row r="47" ht="19.5" customFormat="1" customHeight="1" s="1">
      <c r="B47" s="32" t="inlineStr">
        <is>
          <t>2. Pay Via Transfer</t>
        </is>
      </c>
      <c r="C47" s="32" t="n"/>
      <c r="D47" s="32" t="n"/>
      <c r="E47" s="32" t="n"/>
      <c r="F47" s="32" t="n"/>
      <c r="G47" s="32" t="n"/>
      <c r="H47" s="32" t="n"/>
      <c r="I47" s="32" t="n"/>
    </row>
    <row r="48" ht="19.5" customFormat="1" customHeight="1" s="1">
      <c r="B48" s="57" t="inlineStr">
        <is>
          <t>Name of Bank: East West Bank</t>
        </is>
      </c>
      <c r="C48" s="55" t="n"/>
      <c r="D48" s="55" t="n"/>
      <c r="E48" s="55" t="n"/>
      <c r="F48" s="55" t="n"/>
      <c r="G48" s="55" t="n"/>
      <c r="H48" s="55" t="n"/>
      <c r="I48" s="55" t="n"/>
    </row>
    <row r="49" ht="19.5" customFormat="1" customHeight="1" s="1">
      <c r="B49" s="57" t="inlineStr">
        <is>
          <t>Bank address:(branch address) 9300 Flair Drive, 4th Fl.branch city, state, zip) El Monte, CA 91731</t>
        </is>
      </c>
      <c r="C49" s="57" t="n"/>
      <c r="D49" s="57" t="n"/>
      <c r="E49" s="57" t="n"/>
      <c r="F49" s="57" t="n"/>
      <c r="G49" s="57" t="n"/>
      <c r="H49" s="57" t="n"/>
      <c r="I49" s="57" t="n"/>
    </row>
    <row r="50" ht="19.5" customFormat="1" customHeight="1" s="1">
      <c r="B50" s="57" t="inlineStr">
        <is>
          <t>SWIFT Code: EWBKUS66XXX</t>
        </is>
      </c>
      <c r="C50" s="55" t="n"/>
      <c r="D50" s="55" t="n"/>
      <c r="E50" s="55" t="n"/>
      <c r="F50" s="55" t="n"/>
      <c r="G50" s="55" t="n"/>
      <c r="H50" s="55" t="n"/>
      <c r="I50" s="55" t="n"/>
    </row>
    <row r="51" ht="19.5" customFormat="1" customHeight="1" s="1">
      <c r="B51" s="57" t="inlineStr">
        <is>
          <t>Bank Routing Number:  (domestic wires) 3 | 2 | 2 | 0 | 7 | 0 | 3 | 8 | 1</t>
        </is>
      </c>
      <c r="C51" s="55" t="n"/>
      <c r="D51" s="55" t="n"/>
      <c r="E51" s="55" t="n"/>
      <c r="F51" s="55" t="n"/>
      <c r="G51" s="55" t="n"/>
      <c r="H51" s="55" t="n"/>
      <c r="I51" s="55" t="n"/>
    </row>
    <row r="52" ht="19.25" customFormat="1" customHeight="1" s="1">
      <c r="B52" s="57" t="inlineStr">
        <is>
          <t xml:space="preserve">                                    (international wires) EWBKUS66XXX</t>
        </is>
      </c>
      <c r="C52" s="55" t="n"/>
      <c r="D52" s="55" t="n"/>
      <c r="E52" s="55" t="n"/>
      <c r="F52" s="55" t="n"/>
      <c r="G52" s="55" t="n"/>
      <c r="H52" s="55" t="n"/>
      <c r="I52" s="55" t="n"/>
    </row>
    <row r="53" ht="19.5" customFormat="1" customHeight="1" s="1">
      <c r="B53" s="57" t="inlineStr">
        <is>
          <t>Recipient Name: LogoPress Trading Inc</t>
        </is>
      </c>
      <c r="C53" s="55" t="n"/>
      <c r="D53" s="55" t="n"/>
      <c r="E53" s="55" t="n"/>
      <c r="F53" s="55" t="n"/>
      <c r="G53" s="55" t="n"/>
      <c r="H53" s="55" t="n"/>
      <c r="I53" s="55" t="n"/>
    </row>
    <row r="54" ht="19.5" customFormat="1" customHeight="1" s="1">
      <c r="B54" s="58" t="inlineStr">
        <is>
          <t>Account Number: 8003349563</t>
        </is>
      </c>
      <c r="C54" s="55" t="n"/>
      <c r="D54" s="55" t="n"/>
      <c r="E54" s="55" t="n"/>
      <c r="F54" s="55" t="n"/>
      <c r="G54" s="55" t="n"/>
      <c r="H54" s="55" t="n"/>
      <c r="I54" s="71">
        <f>I31</f>
        <v/>
      </c>
    </row>
    <row r="55" ht="19.5" customFormat="1" customHeight="1" s="1">
      <c r="B55" s="32" t="inlineStr">
        <is>
          <t>3. Pay Via Credit Card</t>
        </is>
      </c>
      <c r="C55" s="32" t="n"/>
      <c r="D55" s="32" t="n"/>
      <c r="E55" s="32" t="n"/>
      <c r="F55" s="32" t="n"/>
      <c r="G55" s="32" t="n"/>
      <c r="H55" s="32" t="n"/>
      <c r="I55" s="32" t="n"/>
    </row>
    <row r="56" ht="26" customHeight="1" s="63">
      <c r="B56" s="59" t="inlineStr">
        <is>
          <t xml:space="preserve">1) Please note that paying by credit card comes with a 3.50% handling charge.
</t>
        </is>
      </c>
      <c r="C56" s="59" t="n"/>
      <c r="D56" s="59" t="n"/>
      <c r="E56" s="59" t="n"/>
      <c r="F56" s="59" t="n"/>
      <c r="G56" s="59" t="n"/>
      <c r="H56" s="59" t="n"/>
      <c r="I56" s="59" t="n"/>
    </row>
    <row r="57" ht="19.5" customHeight="1" s="63">
      <c r="B57" s="59" t="inlineStr">
        <is>
          <t>2) For credit card payment, please contact your sales rep to set up the payment link.</t>
        </is>
      </c>
      <c r="C57" s="59" t="n"/>
      <c r="D57" s="59" t="n"/>
      <c r="E57" s="59" t="n"/>
      <c r="F57" s="59" t="n"/>
      <c r="G57" s="59" t="n"/>
      <c r="H57" s="59" t="n"/>
      <c r="I57" s="59" t="n"/>
    </row>
    <row r="58">
      <c r="B58" s="60" t="n"/>
      <c r="C58" s="28" t="n"/>
      <c r="D58" s="28" t="n"/>
      <c r="E58" s="28" t="n"/>
      <c r="F58" s="28" t="n"/>
      <c r="G58" s="28" t="n"/>
      <c r="H58" s="28" t="n"/>
      <c r="I58" s="71">
        <f>I33</f>
        <v/>
      </c>
    </row>
    <row r="59">
      <c r="B59" s="28" t="n"/>
      <c r="C59" s="28" t="n"/>
      <c r="D59" s="28" t="n"/>
      <c r="E59" s="28" t="n"/>
      <c r="F59" s="28" t="n"/>
      <c r="G59" s="28" t="n"/>
      <c r="H59" s="62" t="inlineStr">
        <is>
          <t>(3.50% handing charge included)</t>
        </is>
      </c>
    </row>
  </sheetData>
  <mergeCells count="31">
    <mergeCell ref="E12:F12"/>
    <mergeCell ref="C17:F17"/>
    <mergeCell ref="C23:F23"/>
    <mergeCell ref="E14:F14"/>
    <mergeCell ref="C19:F19"/>
    <mergeCell ref="B27:F27"/>
    <mergeCell ref="B12:C12"/>
    <mergeCell ref="C18:F18"/>
    <mergeCell ref="H59:I59"/>
    <mergeCell ref="B11:C11"/>
    <mergeCell ref="E10:F10"/>
    <mergeCell ref="B14:C14"/>
    <mergeCell ref="E13:F13"/>
    <mergeCell ref="C15:F15"/>
    <mergeCell ref="C24:F24"/>
    <mergeCell ref="E9:F9"/>
    <mergeCell ref="B13:C13"/>
    <mergeCell ref="B29:F29"/>
    <mergeCell ref="D2:I3"/>
    <mergeCell ref="C20:F20"/>
    <mergeCell ref="B28:F28"/>
    <mergeCell ref="B10:C10"/>
    <mergeCell ref="E11:F11"/>
    <mergeCell ref="C16:F16"/>
    <mergeCell ref="B37:I37"/>
    <mergeCell ref="B9:C9"/>
    <mergeCell ref="C22:F22"/>
    <mergeCell ref="B30:F30"/>
    <mergeCell ref="H8:I8"/>
    <mergeCell ref="C21:F21"/>
    <mergeCell ref="B45:I45"/>
  </mergeCells>
  <hyperlinks>
    <hyperlink xmlns:r="http://schemas.openxmlformats.org/officeDocument/2006/relationships" ref="C7" display="Edward@logopressinc.com" r:id="rId1"/>
  </hyperlinks>
  <printOptions horizontalCentered="1"/>
  <pageMargins left="0.25" right="0.25" top="0.75" bottom="0.75" header="0.298611111111111" footer="0.298611111111111"/>
  <pageSetup orientation="portrait" paperSize="9" scale="80" fitToHeight="0"/>
  <rowBreaks count="1" manualBreakCount="1">
    <brk id="36" min="0" max="9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2024-09-10T23:52:00Z</dcterms:created>
  <dcterms:modified xsi:type="dcterms:W3CDTF">2026-07-24T18:20:48Z</dcterms:modified>
  <cp:lastModifiedBy>陈鹏° Vincent Chen</cp:lastModifiedBy>
  <cp:lastPrinted>2024-11-10T00:56:00Z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