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9400" windowHeight="12920" tabRatio="600" firstSheet="0" activeTab="0" autoFilterDateGrouping="1"/>
  </bookViews>
  <sheets>
    <sheet name="PI" sheetId="1" state="visible" r:id="rId1"/>
  </sheets>
  <definedNames>
    <definedName name="valuevx">42.314159</definedName>
    <definedName name="_xlnm.Print_Area" localSheetId="0">'PI'!$A$1:$J$59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mm/dd/yy;@"/>
    <numFmt numFmtId="165" formatCode="0.00_ "/>
    <numFmt numFmtId="166" formatCode="_(&quot;$&quot;* #,##0.00_);_(&quot;$&quot;* \(#,##0.00\);_(&quot;$&quot;* &quot;-&quot;??_);_(@_)"/>
    <numFmt numFmtId="167" formatCode="&quot; &quot;&quot;$&quot;* #,##0.00&quot; &quot;;&quot; &quot;&quot;$&quot;* \(#,##0.00\);&quot; &quot;&quot;$&quot;* &quot;-&quot;??&quot; &quot;"/>
  </numFmts>
  <fonts count="40">
    <font>
      <name val="宋体"/>
      <charset val="134"/>
      <color theme="1"/>
      <sz val="11"/>
      <scheme val="minor"/>
    </font>
    <font>
      <name val="Helvetica Neue Regular"/>
      <charset val="134"/>
      <color indexed="8"/>
      <sz val="10"/>
    </font>
    <font>
      <name val="Helvetica Neue Regular"/>
      <charset val="134"/>
      <sz val="10"/>
    </font>
    <font>
      <name val="Helvetica Neue Regular"/>
      <charset val="134"/>
      <sz val="18"/>
    </font>
    <font>
      <name val="Helvetica Neue Regular"/>
      <charset val="134"/>
      <b val="1"/>
      <color rgb="FF09437A"/>
      <sz val="36"/>
    </font>
    <font>
      <name val="Helvetica Neue Regular"/>
      <charset val="134"/>
      <color theme="4"/>
      <sz val="10"/>
    </font>
    <font>
      <name val="Helvetica Neue Regular"/>
      <charset val="134"/>
      <b val="1"/>
      <color indexed="9"/>
      <sz val="11"/>
    </font>
    <font>
      <name val="Helvetica Neue Regular"/>
      <charset val="134"/>
      <sz val="9"/>
    </font>
    <font>
      <name val="Helvetica Neue Regular"/>
      <charset val="134"/>
      <color rgb="FF212529"/>
      <sz val="9"/>
    </font>
    <font>
      <name val="Helvetica Neue Regular"/>
      <charset val="129"/>
      <sz val="10"/>
    </font>
    <font>
      <name val="Helvetica Neue Regular"/>
      <charset val="134"/>
      <color indexed="9"/>
      <sz val="8"/>
    </font>
    <font>
      <name val="Helvetica Neue Regular"/>
      <charset val="134"/>
      <b val="1"/>
      <sz val="10"/>
    </font>
    <font>
      <name val="Helvetica Neue Regular"/>
      <charset val="134"/>
      <b val="1"/>
      <sz val="11"/>
    </font>
    <font>
      <name val="Helvetica Neue Regular"/>
      <charset val="134"/>
      <b val="1"/>
      <color theme="0"/>
      <sz val="11"/>
    </font>
    <font>
      <name val="Helvetica Neue Regular"/>
      <charset val="134"/>
      <b val="1"/>
      <color rgb="FF09437A"/>
      <sz val="28"/>
    </font>
    <font>
      <name val="Helvetica Neue Regular"/>
      <charset val="134"/>
      <color rgb="FF000000"/>
      <sz val="10"/>
    </font>
    <font>
      <name val="Helvetica Neue Regular"/>
      <charset val="134"/>
      <b val="1"/>
      <color indexed="8"/>
      <sz val="10"/>
    </font>
    <font>
      <name val="Helvetica Neue Regular"/>
      <charset val="134"/>
      <color rgb="FFFF0000"/>
      <sz val="10"/>
    </font>
    <font>
      <name val="Helvetica Neue Regular"/>
      <charset val="134"/>
      <b val="1"/>
      <color indexed="19"/>
      <sz val="10"/>
    </font>
    <font>
      <name val="宋体"/>
      <charset val="134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Arial"/>
      <charset val="134"/>
      <sz val="10"/>
    </font>
    <font>
      <name val="宋体-简"/>
      <charset val="134"/>
      <sz val="10"/>
    </font>
  </fonts>
  <fills count="3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9437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23"/>
      </top>
      <bottom/>
      <diagonal/>
    </border>
    <border>
      <left/>
      <right/>
      <top/>
      <bottom style="thin">
        <color indexed="23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0" fillId="4" borderId="5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6" applyAlignment="1">
      <alignment vertical="center"/>
    </xf>
    <xf numFmtId="0" fontId="25" fillId="0" borderId="6" applyAlignment="1">
      <alignment vertical="center"/>
    </xf>
    <xf numFmtId="0" fontId="26" fillId="0" borderId="7" applyAlignment="1">
      <alignment vertical="center"/>
    </xf>
    <xf numFmtId="0" fontId="26" fillId="0" borderId="0" applyAlignment="1">
      <alignment vertical="center"/>
    </xf>
    <xf numFmtId="0" fontId="27" fillId="5" borderId="8" applyAlignment="1">
      <alignment vertical="center"/>
    </xf>
    <xf numFmtId="0" fontId="28" fillId="6" borderId="9" applyAlignment="1">
      <alignment vertical="center"/>
    </xf>
    <xf numFmtId="0" fontId="29" fillId="6" borderId="8" applyAlignment="1">
      <alignment vertical="center"/>
    </xf>
    <xf numFmtId="0" fontId="30" fillId="7" borderId="10" applyAlignment="1">
      <alignment vertical="center"/>
    </xf>
    <xf numFmtId="0" fontId="31" fillId="0" borderId="11" applyAlignment="1">
      <alignment vertical="center"/>
    </xf>
    <xf numFmtId="0" fontId="32" fillId="0" borderId="12" applyAlignment="1">
      <alignment vertical="center"/>
    </xf>
    <xf numFmtId="0" fontId="33" fillId="8" borderId="0" applyAlignment="1">
      <alignment vertical="center"/>
    </xf>
    <xf numFmtId="0" fontId="34" fillId="9" borderId="0" applyAlignment="1">
      <alignment vertical="center"/>
    </xf>
    <xf numFmtId="0" fontId="35" fillId="10" borderId="0" applyAlignment="1">
      <alignment vertical="center"/>
    </xf>
    <xf numFmtId="0" fontId="36" fillId="11" borderId="0" applyAlignment="1">
      <alignment vertical="center"/>
    </xf>
    <xf numFmtId="0" fontId="37" fillId="12" borderId="0" applyAlignment="1">
      <alignment vertical="center"/>
    </xf>
    <xf numFmtId="0" fontId="37" fillId="13" borderId="0" applyAlignment="1">
      <alignment vertical="center"/>
    </xf>
    <xf numFmtId="0" fontId="36" fillId="14" borderId="0" applyAlignment="1">
      <alignment vertical="center"/>
    </xf>
    <xf numFmtId="0" fontId="36" fillId="15" borderId="0" applyAlignment="1">
      <alignment vertical="center"/>
    </xf>
    <xf numFmtId="0" fontId="37" fillId="16" borderId="0" applyAlignment="1">
      <alignment vertical="center"/>
    </xf>
    <xf numFmtId="0" fontId="37" fillId="17" borderId="0" applyAlignment="1">
      <alignment vertical="center"/>
    </xf>
    <xf numFmtId="0" fontId="36" fillId="18" borderId="0" applyAlignment="1">
      <alignment vertical="center"/>
    </xf>
    <xf numFmtId="0" fontId="36" fillId="19" borderId="0" applyAlignment="1">
      <alignment vertical="center"/>
    </xf>
    <xf numFmtId="0" fontId="37" fillId="20" borderId="0" applyAlignment="1">
      <alignment vertical="center"/>
    </xf>
    <xf numFmtId="0" fontId="37" fillId="21" borderId="0" applyAlignment="1">
      <alignment vertical="center"/>
    </xf>
    <xf numFmtId="0" fontId="36" fillId="22" borderId="0" applyAlignment="1">
      <alignment vertical="center"/>
    </xf>
    <xf numFmtId="0" fontId="36" fillId="23" borderId="0" applyAlignment="1">
      <alignment vertical="center"/>
    </xf>
    <xf numFmtId="0" fontId="37" fillId="24" borderId="0" applyAlignment="1">
      <alignment vertical="center"/>
    </xf>
    <xf numFmtId="0" fontId="37" fillId="25" borderId="0" applyAlignment="1">
      <alignment vertical="center"/>
    </xf>
    <xf numFmtId="0" fontId="36" fillId="26" borderId="0" applyAlignment="1">
      <alignment vertical="center"/>
    </xf>
    <xf numFmtId="0" fontId="36" fillId="27" borderId="0" applyAlignment="1">
      <alignment vertical="center"/>
    </xf>
    <xf numFmtId="0" fontId="37" fillId="28" borderId="0" applyAlignment="1">
      <alignment vertical="center"/>
    </xf>
    <xf numFmtId="0" fontId="37" fillId="29" borderId="0" applyAlignment="1">
      <alignment vertical="center"/>
    </xf>
    <xf numFmtId="0" fontId="36" fillId="30" borderId="0" applyAlignment="1">
      <alignment vertical="center"/>
    </xf>
    <xf numFmtId="0" fontId="36" fillId="31" borderId="0" applyAlignment="1">
      <alignment vertical="center"/>
    </xf>
    <xf numFmtId="0" fontId="37" fillId="32" borderId="0" applyAlignment="1">
      <alignment vertical="center"/>
    </xf>
    <xf numFmtId="0" fontId="37" fillId="33" borderId="0" applyAlignment="1">
      <alignment vertical="center"/>
    </xf>
    <xf numFmtId="0" fontId="36" fillId="34" borderId="0" applyAlignment="1">
      <alignment vertical="center"/>
    </xf>
    <xf numFmtId="0" fontId="38" fillId="0" borderId="0"/>
  </cellStyleXfs>
  <cellXfs count="7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applyProtection="1" pivotButton="0" quotePrefix="0" xfId="0">
      <alignment vertical="center"/>
      <protection locked="0" hidden="0"/>
    </xf>
    <xf numFmtId="0" fontId="3" fillId="2" borderId="0" applyProtection="1" pivotButton="0" quotePrefix="0" xfId="0">
      <protection locked="0" hidden="0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2" fillId="2" borderId="0" applyProtection="1" pivotButton="0" quotePrefix="0" xfId="0">
      <protection locked="0" hidden="0"/>
    </xf>
    <xf numFmtId="0" fontId="2" fillId="2" borderId="0" applyAlignment="1" applyProtection="1" pivotButton="0" quotePrefix="0" xfId="0">
      <alignment horizontal="left"/>
      <protection locked="0" hidden="0"/>
    </xf>
    <xf numFmtId="0" fontId="2" fillId="2" borderId="0" applyAlignment="1" pivotButton="0" quotePrefix="0" xfId="0">
      <alignment horizontal="left"/>
    </xf>
    <xf numFmtId="164" fontId="2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0" fontId="2" fillId="0" borderId="0" applyProtection="1" pivotButton="0" quotePrefix="0" xfId="0">
      <protection locked="0" hidden="0"/>
    </xf>
    <xf numFmtId="0" fontId="2" fillId="2" borderId="0" applyAlignment="1" pivotButton="0" quotePrefix="0" xfId="0">
      <alignment vertical="top"/>
    </xf>
    <xf numFmtId="0" fontId="5" fillId="0" borderId="0" pivotButton="0" quotePrefix="0" xfId="0"/>
    <xf numFmtId="0" fontId="6" fillId="3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0" borderId="0" applyAlignment="1" applyProtection="1" pivotButton="0" quotePrefix="0" xfId="0">
      <alignment horizontal="left" vertical="center"/>
      <protection locked="0" hidden="0"/>
    </xf>
    <xf numFmtId="164" fontId="2" fillId="0" borderId="1" applyAlignment="1" applyProtection="1" pivotButton="0" quotePrefix="0" xfId="0">
      <alignment horizontal="left" vertical="center"/>
      <protection locked="0" hidden="0"/>
    </xf>
    <xf numFmtId="164" fontId="2" fillId="0" borderId="0" applyAlignment="1" pivotButton="0" quotePrefix="0" xfId="0">
      <alignment horizontal="left" vertical="center"/>
    </xf>
    <xf numFmtId="0" fontId="7" fillId="2" borderId="0" applyAlignment="1" applyProtection="1" pivotButton="0" quotePrefix="0" xfId="0">
      <alignment horizontal="left" vertical="center"/>
      <protection locked="0" hidden="0"/>
    </xf>
    <xf numFmtId="0" fontId="2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165" fontId="2" fillId="0" borderId="0" applyAlignment="1" applyProtection="1" pivotButton="0" quotePrefix="0" xfId="1">
      <alignment horizontal="center" vertical="center"/>
      <protection locked="0" hidden="0"/>
    </xf>
    <xf numFmtId="0" fontId="2" fillId="0" borderId="0" applyAlignment="1" pivotButton="0" quotePrefix="0" xfId="1">
      <alignment horizontal="right" vertical="center"/>
    </xf>
    <xf numFmtId="0" fontId="2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43" fontId="2" fillId="0" borderId="0" pivotButton="0" quotePrefix="0" xfId="0"/>
    <xf numFmtId="0" fontId="6" fillId="3" borderId="0" pivotButton="0" quotePrefix="0" xfId="0"/>
    <xf numFmtId="43" fontId="2" fillId="0" borderId="0" pivotButton="0" quotePrefix="0" xfId="0"/>
    <xf numFmtId="0" fontId="2" fillId="0" borderId="0" applyAlignment="1" pivotButton="0" quotePrefix="0" xfId="0">
      <alignment vertical="top"/>
    </xf>
    <xf numFmtId="0" fontId="2" fillId="2" borderId="2" applyAlignment="1" applyProtection="1" pivotButton="0" quotePrefix="0" xfId="0">
      <alignment horizontal="left" vertical="center"/>
      <protection locked="0" hidden="0"/>
    </xf>
    <xf numFmtId="0" fontId="2" fillId="2" borderId="0" applyAlignment="1" applyProtection="1" pivotButton="0" quotePrefix="0" xfId="0">
      <alignment horizontal="left" vertical="top"/>
      <protection locked="0" hidden="0"/>
    </xf>
    <xf numFmtId="0" fontId="12" fillId="2" borderId="3" pivotButton="0" quotePrefix="0" xfId="0"/>
    <xf numFmtId="166" fontId="13" fillId="3" borderId="3" pivotButton="0" quotePrefix="0" xfId="0"/>
    <xf numFmtId="0" fontId="2" fillId="2" borderId="0" pivotButton="0" quotePrefix="0" xfId="0"/>
    <xf numFmtId="0" fontId="2" fillId="2" borderId="4" pivotButton="0" quotePrefix="0" xfId="0"/>
    <xf numFmtId="0" fontId="11" fillId="2" borderId="0" applyAlignment="1" applyProtection="1" pivotButton="0" quotePrefix="0" xfId="0">
      <alignment horizontal="center" vertical="top"/>
      <protection locked="0" hidden="0"/>
    </xf>
    <xf numFmtId="0" fontId="2" fillId="2" borderId="0" applyAlignment="1" applyProtection="1" pivotButton="0" quotePrefix="0" xfId="0">
      <alignment vertical="center"/>
      <protection locked="0" hidden="0"/>
    </xf>
    <xf numFmtId="0" fontId="2" fillId="2" borderId="0" applyAlignment="1" applyProtection="1" pivotButton="0" quotePrefix="0" xfId="0">
      <alignment horizontal="right" vertical="center"/>
      <protection locked="0" hidden="0"/>
    </xf>
    <xf numFmtId="58" fontId="11" fillId="2" borderId="0" applyAlignment="1" pivotButton="0" quotePrefix="0" xfId="0">
      <alignment horizontal="left" vertical="top"/>
    </xf>
    <xf numFmtId="0" fontId="2" fillId="2" borderId="0" applyAlignment="1" applyProtection="1" pivotButton="0" quotePrefix="0" xfId="0">
      <alignment vertical="center"/>
      <protection locked="0" hidden="0"/>
    </xf>
    <xf numFmtId="0" fontId="14" fillId="0" borderId="0" applyAlignment="1" pivotButton="0" quotePrefix="0" xfId="0">
      <alignment horizontal="center" vertical="center"/>
    </xf>
    <xf numFmtId="49" fontId="15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vertical="center"/>
    </xf>
    <xf numFmtId="49" fontId="16" fillId="2" borderId="0" applyAlignment="1" pivotButton="0" quotePrefix="0" xfId="0">
      <alignment horizontal="left" vertical="center"/>
    </xf>
    <xf numFmtId="49" fontId="16" fillId="2" borderId="0" applyAlignment="1" pivotButton="0" quotePrefix="0" xfId="0">
      <alignment vertical="center"/>
    </xf>
    <xf numFmtId="49" fontId="17" fillId="2" borderId="0" applyAlignment="1" pivotButton="0" quotePrefix="0" xfId="0">
      <alignment vertical="center"/>
    </xf>
    <xf numFmtId="49" fontId="17" fillId="2" borderId="0" applyAlignment="1" pivotButton="0" quotePrefix="0" xfId="0">
      <alignment horizontal="left" vertical="center" wrapText="1"/>
    </xf>
    <xf numFmtId="49" fontId="11" fillId="0" borderId="0" pivotButton="0" quotePrefix="0" xfId="0"/>
    <xf numFmtId="0" fontId="1" fillId="2" borderId="0" pivotButton="0" quotePrefix="0" xfId="0"/>
    <xf numFmtId="167" fontId="17" fillId="2" borderId="0" pivotButton="0" quotePrefix="0" xfId="0"/>
    <xf numFmtId="49" fontId="1" fillId="2" borderId="0" pivotButton="0" quotePrefix="0" xfId="0"/>
    <xf numFmtId="49" fontId="2" fillId="0" borderId="0" pivotButton="0" quotePrefix="0" xfId="0"/>
    <xf numFmtId="0" fontId="2" fillId="2" borderId="0" pivotButton="0" quotePrefix="0" xfId="0"/>
    <xf numFmtId="49" fontId="18" fillId="2" borderId="0" pivotButton="0" quotePrefix="0" xfId="0"/>
    <xf numFmtId="167" fontId="17" fillId="2" borderId="0" pivotButton="0" quotePrefix="0" xfId="0"/>
    <xf numFmtId="0" fontId="17" fillId="0" borderId="0" applyAlignment="1" pivotButton="0" quotePrefix="0" xfId="0">
      <alignment horizontal="right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left"/>
      <protection locked="0" hidden="0"/>
    </xf>
    <xf numFmtId="164" fontId="2" fillId="0" borderId="1" applyAlignment="1" applyProtection="1" pivotButton="0" quotePrefix="0" xfId="0">
      <alignment horizontal="left" vertical="center"/>
      <protection locked="0" hidden="0"/>
    </xf>
    <xf numFmtId="164" fontId="2" fillId="0" borderId="0" applyAlignment="1" pivotButton="0" quotePrefix="0" xfId="0">
      <alignment horizontal="left" vertical="center"/>
    </xf>
    <xf numFmtId="165" fontId="2" fillId="0" borderId="0" applyAlignment="1" applyProtection="1" pivotButton="0" quotePrefix="0" xfId="1">
      <alignment horizontal="center" vertical="center"/>
      <protection locked="0" hidden="0"/>
    </xf>
    <xf numFmtId="43" fontId="2" fillId="0" borderId="0" pivotButton="0" quotePrefix="0" xfId="0"/>
    <xf numFmtId="166" fontId="13" fillId="3" borderId="3" pivotButton="0" quotePrefix="0" xfId="0"/>
    <xf numFmtId="167" fontId="17" fillId="2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PIET 0012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389255</xdr:colOff>
      <xdr:row>1</xdr:row>
      <xdr:rowOff>44450</xdr:rowOff>
    </xdr:from>
    <xdr:to>
      <xdr:col>1</xdr:col>
      <xdr:colOff>1137920</xdr:colOff>
      <xdr:row>2</xdr:row>
      <xdr:rowOff>270510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1215" y="171450"/>
          <a:ext cx="748665" cy="5562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Edward@logopressinc.com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 fitToPage="1"/>
  </s:sheetPr>
  <s:dimension ref="B2:M59"/>
  <s:sheetViews>
    <s:sheetView tabSelected="1" view="pageBreakPreview" topLeftCell="A11" zoomScale="114" zoomScaleNormal="100" workbookViewId="0">
      <s:selection activeCell="H18" sqref="H18"/>
    </s:sheetView>
  </s:sheetViews>
  <s:sheetFormatPr baseColWidth="8" defaultColWidth="8.33653846153846" defaultRowHeight="15.2"/>
  <s:cols>
    <s:col width="6.69230769230769" customWidth="1" style="28" min="1" max="1"/>
    <s:col width="17.6923076923077" customWidth="1" style="28" min="2" max="3"/>
    <s:col width="6.5" customWidth="1" style="28" min="4" max="4"/>
    <s:col width="17.6923076923077" customWidth="1" style="28" min="5" max="6"/>
    <s:col width="6.5" customWidth="1" style="28" min="7" max="7"/>
    <s:col width="16.6923076923077" customWidth="1" style="28" min="8" max="8"/>
    <s:col width="19.3942307692308" customWidth="1" style="28" min="9" max="9"/>
    <s:col width="6.69230769230769" customWidth="1" style="28" min="10" max="10"/>
    <s:col width="8.5" customWidth="1" style="28" min="11" max="246"/>
    <s:col width="8.33653846153846" customWidth="1" style="28" min="247" max="16384"/>
  </s:cols>
  <s:sheetData>
    <s:row r="1" ht="10" customHeight="1" s="63"/>
    <s:row r="2" ht="26" customHeight="1" s="63">
      <s:c r="B2" s="3" t="n"/>
      <s:c r="C2" s="4" t="n"/>
      <s:c r="D2" s="5" t="inlineStr">
        <s:is>
          <s:t>PROFORMA INVOICE</s:t>
        </s:is>
      </s:c>
      <s:c r="E2" s="64" t="n"/>
      <s:c r="F2" s="64" t="n"/>
      <s:c r="G2" s="64" t="n"/>
      <s:c r="H2" s="64" t="n"/>
      <s:c r="I2" s="64" t="n"/>
    </s:row>
    <s:row r="3" ht="26" customHeight="1" s="63">
      <s:c r="B3" s="6" t="n"/>
      <s:c r="C3" s="6" t="n"/>
      <s:c r="D3" s="64" t="n"/>
      <s:c r="E3" s="64" t="n"/>
      <s:c r="F3" s="64" t="n"/>
      <s:c r="G3" s="64" t="n"/>
      <s:c r="H3" s="64" t="n"/>
      <s:c r="I3" s="64" t="n"/>
    </s:row>
    <s:row r="4" ht="15" customHeight="1" s="63">
      <s:c r="B4" s="6" t="inlineStr">
        <s:is>
          <s:t>Address:</s:t>
        </s:is>
      </s:c>
      <s:c r="C4" s="6" t="inlineStr">
        <s:is>
          <s:t>201 N WOLCOTT ST STE 203 Casper WY 82601  LogoPress Trading Inc</s:t>
        </s:is>
      </s:c>
      <s:c r="D4" s="6" t="n"/>
      <s:c r="E4" s="6" t="n"/>
      <s:c r="F4" s="6" t="n"/>
      <s:c r="G4" s="7" t="n"/>
      <s:c r="H4" s="8" t="inlineStr">
        <s:is>
          <s:t>DATE</s:t>
        </s:is>
      </s:c>
      <s:c r="I4" s="65" t="inlineStr">
        <s:is>
          <s:t>2026/07/22</s:t>
        </s:is>
      </s:c>
    </s:row>
    <s:row r="5" ht="15" customHeight="1" s="63">
      <s:c r="B5" s="6" t="inlineStr">
        <s:is>
          <s:t>Tel:</s:t>
        </s:is>
      </s:c>
      <s:c r="C5" s="6" t="inlineStr">
        <s:is>
          <s:t>(307) 2072111</s:t>
        </s:is>
      </s:c>
      <s:c r="D5" s="7" t="n"/>
      <s:c r="E5" s="7" t="n"/>
      <s:c r="F5" s="7" t="n"/>
      <s:c r="G5" s="6" t="n"/>
      <s:c r="H5" s="8" t="inlineStr">
        <s:is>
          <s:t>PI #</s:t>
        </s:is>
      </s:c>
      <s:c r="I5" s="10" t="inlineStr">
        <s:is>
          <s:t>LP26072201</s:t>
        </s:is>
      </s:c>
    </s:row>
    <s:row r="6">
      <s:c r="B6" s="11" t="inlineStr">
        <s:is>
          <s:t>Attn:</s:t>
        </s:is>
      </s:c>
      <s:c r="C6" s="6" t="inlineStr">
        <s:is>
          <s:t>Edward</s:t>
        </s:is>
      </s:c>
      <s:c r="D6" s="12" t="n"/>
      <s:c r="E6" s="12" t="n"/>
      <s:c r="F6" s="12" t="n"/>
      <s:c r="G6" s="6" t="n"/>
      <s:c r="H6" s="8" t="inlineStr">
        <s:is>
          <s:t>PO #</s:t>
        </s:is>
      </s:c>
      <s:c r="I6" s="10" t="inlineStr">
        <s:is>
          <s:t>EVER</s:t>
        </s:is>
      </s:c>
    </s:row>
    <s:row r="7">
      <s:c r="B7" s="8" t="inlineStr">
        <s:is>
          <s:t>Email:</s:t>
        </s:is>
      </s:c>
      <s:c r="C7" s="6" t="inlineStr">
        <s:is>
          <s:t>Edward@logopressinc.com</s:t>
        </s:is>
      </s:c>
      <s:c r="D7" s="6" t="n"/>
      <s:c r="E7" s="12" t="n"/>
      <s:c r="F7" s="12" t="n"/>
      <s:c r="G7" s="6" t="n"/>
      <s:c r="H7" s="8" t="inlineStr">
        <s:is>
          <s:t>PAYMENT TERM</s:t>
        </s:is>
      </s:c>
      <s:c r="I7" s="10" t="inlineStr">
        <s:is>
          <s:t>100% Prepayment</s:t>
        </s:is>
      </s:c>
      <s:c r="L7" s="13" t="n"/>
    </s:row>
    <s:row r="8" ht="16.8" customHeight="1" s="63">
      <s:c r="B8" s="14" t="inlineStr">
        <s:is>
          <s:t>CUSTOMER</s:t>
        </s:is>
      </s:c>
      <s:c r="C8" s="14" t="n"/>
      <s:c r="D8" s="14" t="n"/>
      <s:c r="E8" s="14" t="inlineStr">
        <s:is>
          <s:t>SHIP TO</s:t>
        </s:is>
      </s:c>
      <s:c r="F8" s="14" t="n"/>
      <s:c r="G8" s="14" t="n"/>
      <s:c r="H8" s="14" t="inlineStr">
        <s:is>
          <s:t>SHIPPING DETAILS</s:t>
        </s:is>
      </s:c>
    </s:row>
    <s:row r="9" ht="26" customHeight="1" s="63">
      <s:c r="B9" s="15" t="inlineStr">
        <s:is>
          <s:t>Paztora</s:t>
        </s:is>
      </s:c>
      <s:c r="D9" s="15" t="n"/>
      <s:c r="E9" s="15" t="inlineStr">
        <s:is>
          <s:t>Paztora</s:t>
        </s:is>
      </s:c>
      <s:c r="G9" s="16" t="n"/>
      <s:c r="H9" s="15" t="inlineStr">
        <s:is>
          <s:t>Order Date</s:t>
        </s:is>
      </s:c>
      <s:c r="I9" s="66" t="inlineStr">
        <s:is>
          <s:t>2026/07/22</s:t>
        </s:is>
      </s:c>
      <s:c r="M9" s="13" t="n"/>
    </s:row>
    <s:row r="10" ht="50" customHeight="1" s="63">
      <s:c r="B10" s="15" t="inlineStr"/>
      <s:c r="D10" s="15" t="n"/>
      <s:c r="E10" s="15" t="inlineStr">
        <s:is>
          <s:t>14850 SW 38TH LN MIAMI FL 33185</s:t>
        </s:is>
      </s:c>
      <s:c r="G10" s="16" t="n"/>
      <s:c r="H10" s="15" t="inlineStr">
        <s:is>
          <s:t>Ship Date</s:t>
        </s:is>
      </s:c>
      <s:c r="I10" s="67" t="inlineStr">
        <s:is>
          <s:t>2026/07/24</s:t>
        </s:is>
      </s:c>
    </s:row>
    <s:row r="11" ht="26" customHeight="1" s="63">
      <s:c r="B11" s="15" t="inlineStr">
        <s:is>
          <s:t>Paztora</s:t>
        </s:is>
      </s:c>
      <s:c r="D11" s="15" t="n"/>
      <s:c r="E11" s="15" t="inlineStr">
        <s:is>
          <s:t>PAZTORA</s:t>
        </s:is>
      </s:c>
      <s:c r="G11" s="16" t="n"/>
      <s:c r="H11" s="15" t="inlineStr">
        <s:is>
          <s:t>In-Hands Date</s:t>
        </s:is>
      </s:c>
      <s:c r="I11" s="67" t="inlineStr">
        <s:is>
          <s:t>2026/07/31</s:t>
        </s:is>
      </s:c>
    </s:row>
    <s:row r="12" ht="21" customHeight="1" s="63">
      <s:c r="B12" s="15" t="inlineStr"/>
      <s:c r="D12" s="15" t="n"/>
      <s:c r="E12" s="15" t="inlineStr"/>
      <s:c r="G12" s="16" t="n"/>
      <s:c r="H12" s="15" t="inlineStr">
        <s:is>
          <s:t>Freight Type</s:t>
        </s:is>
      </s:c>
      <s:c r="I12" s="15" t="inlineStr">
        <s:is>
          <s:t>EXPRESS</s:t>
        </s:is>
      </s:c>
    </s:row>
    <s:row r="13" ht="26" customHeight="1" s="63">
      <s:c r="B13" s="15" t="inlineStr">
        <s:is>
          <s:t>info@paztora.com</s:t>
        </s:is>
      </s:c>
      <s:c r="D13" s="15" t="n"/>
      <s:c r="E13" s="15" t="inlineStr"/>
      <s:c r="G13" s="16" t="n"/>
      <s:c r="H13" s="15" t="inlineStr">
        <s:is>
          <s:t>Total Packages</s:t>
        </s:is>
      </s:c>
      <s:c r="I13" s="15" t="n">
        <s:v>1</s:v>
      </s:c>
    </s:row>
    <s:row r="14" ht="6" customHeight="1" s="63">
      <s:c r="B14" s="19" t="n"/>
      <s:c r="C14" s="64" t="n"/>
      <s:c r="D14" s="20" t="n"/>
      <s:c r="E14" s="19" t="n"/>
      <s:c r="F14" s="64" t="n"/>
      <s:c r="G14" s="19" t="n"/>
      <s:c r="H14" s="8" t="n"/>
      <s:c r="I14" s="8" t="n"/>
    </s:row>
    <s:row r="15" ht="21" customHeight="1" s="63">
      <s:c r="B15" s="21" t="inlineStr">
        <s:is>
          <s:t>Product Number</s:t>
        </s:is>
      </s:c>
      <s:c r="C15" s="22" t="inlineStr">
        <s:is>
          <s:t>DESCRIPTION</s:t>
        </s:is>
      </s:c>
      <s:c r="G15" s="22" t="inlineStr">
        <s:is>
          <s:t>QTY</s:t>
        </s:is>
      </s:c>
      <s:c r="H15" s="22" t="inlineStr">
        <s:is>
          <s:t>UNIT PRICE</s:t>
        </s:is>
      </s:c>
      <s:c r="I15" s="22" t="inlineStr">
        <s:is>
          <s:t>TOTAL AMOUNT</s:t>
        </s:is>
      </s:c>
    </s:row>
    <s:row r="16" ht="36" customHeight="1" s="63">
      <s:c r="B16" s="23" t="inlineStr">
        <s:is>
          <s:t>LP6587</s:t>
        </s:is>
      </s:c>
      <s:c r="C16" s="24" t="inlineStr">
        <s:is>
          <s:t>Minimalist Front Pocket PU Leather Card Holder Slim Wallet</s:t>
        </s:is>
      </s:c>
      <s:c r="D16" s="64" t="n"/>
      <s:c r="E16" s="64" t="n"/>
      <s:c r="F16" s="64" t="n"/>
      <s:c r="G16" s="25" t="n">
        <s:v>1000</s:v>
      </s:c>
      <s:c r="H16" s="68" t="n">
        <s:v>0.52</s:v>
      </s:c>
      <s:c r="I16" s="27">
        <s:f>IFERROR(IF(G16*H16=0,"",G16*H16),"")</s:f>
        <s:v>520</s:v>
      </s:c>
    </s:row>
    <s:row r="17" ht="36" customHeight="1" s="63">
      <s:c r="B17" s="23" t="n"/>
      <s:c r="C17" s="24" t="n"/>
      <s:c r="D17" s="64" t="n"/>
      <s:c r="E17" s="64" t="n"/>
      <s:c r="F17" s="64" t="n"/>
      <s:c r="G17" s="25" t="n"/>
      <s:c r="H17" s="68" t="n"/>
      <s:c r="I17" s="27">
        <s:f>IFERROR(IF(G17*H17=0,"",G17*H17),"")</s:f>
        <s:v/>
      </s:c>
    </s:row>
    <s:row r="18" ht="36" customHeight="1" s="63">
      <s:c r="B18" s="23" t="n"/>
      <s:c r="C18" s="24" t="n"/>
      <s:c r="D18" s="64" t="n"/>
      <s:c r="E18" s="64" t="n"/>
      <s:c r="F18" s="64" t="n"/>
      <s:c r="G18" s="25" t="n"/>
      <s:c r="H18" s="68" t="n"/>
      <s:c r="I18" s="27">
        <s:f>IFERROR(IF(G18*H18=0,"",G18*H18),"")</s:f>
        <s:v/>
      </s:c>
    </s:row>
    <s:row r="19" ht="36" customHeight="1" s="63">
      <s:c r="B19" s="23" t="n"/>
      <s:c r="C19" s="24" t="n"/>
      <s:c r="D19" s="64" t="n"/>
      <s:c r="E19" s="64" t="n"/>
      <s:c r="F19" s="64" t="n"/>
      <s:c r="G19" s="25" t="n"/>
      <s:c r="H19" s="68" t="n"/>
      <s:c r="I19" s="27">
        <s:f>IFERROR(IF(G19*H19=0,"",G19*H19),"")</s:f>
        <s:v/>
      </s:c>
    </s:row>
    <s:row r="20" ht="36" customHeight="1" s="63">
      <s:c r="B20" s="23" t="n"/>
      <s:c r="C20" s="24" t="n"/>
      <s:c r="D20" s="64" t="n"/>
      <s:c r="E20" s="64" t="n"/>
      <s:c r="F20" s="64" t="n"/>
      <s:c r="G20" s="25" t="n"/>
      <s:c r="H20" s="68" t="n"/>
      <s:c r="I20" s="27">
        <s:f>IFERROR(IF(G20*H20=0,"",G20*H20),"")</s:f>
        <s:v/>
      </s:c>
    </s:row>
    <s:row r="21" ht="36" customHeight="1" s="63">
      <s:c r="B21" s="23" t="n"/>
      <s:c r="C21" s="24" t="n"/>
      <s:c r="D21" s="64" t="n"/>
      <s:c r="E21" s="64" t="n"/>
      <s:c r="F21" s="64" t="n"/>
      <s:c r="G21" s="25" t="n"/>
      <s:c r="H21" s="68" t="n"/>
      <s:c r="I21" s="27">
        <s:f>IFERROR(IF(G21*H21=0,"",G21*H21),"")</s:f>
        <s:v/>
      </s:c>
    </s:row>
    <s:row r="22" ht="36" customHeight="1" s="63">
      <s:c r="B22" s="23" t="n"/>
      <s:c r="C22" s="24" t="n"/>
      <s:c r="D22" s="64" t="n"/>
      <s:c r="E22" s="64" t="n"/>
      <s:c r="F22" s="64" t="n"/>
      <s:c r="G22" s="25" t="n"/>
      <s:c r="H22" s="68" t="n"/>
      <s:c r="I22" s="27">
        <s:f>IFERROR(IF(G22*H22=0,"",G22*H22),"")</s:f>
        <s:v/>
      </s:c>
    </s:row>
    <s:row r="23" ht="36" customHeight="1" s="63">
      <s:c r="B23" s="23" t="n"/>
      <s:c r="C23" s="24" t="n"/>
      <s:c r="D23" s="64" t="n"/>
      <s:c r="E23" s="64" t="n"/>
      <s:c r="F23" s="64" t="n"/>
      <s:c r="G23" s="25" t="n"/>
      <s:c r="H23" s="68" t="n"/>
      <s:c r="I23" s="27">
        <s:f>IFERROR(IF(G23*H23=0,"",G23*H23),"")</s:f>
        <s:v/>
      </s:c>
    </s:row>
    <s:row r="24" ht="36" customHeight="1" s="63">
      <s:c r="B24" s="23" t="n"/>
      <s:c r="C24" s="24" t="n"/>
      <s:c r="D24" s="64" t="n"/>
      <s:c r="E24" s="64" t="n"/>
      <s:c r="F24" s="64" t="n"/>
      <s:c r="G24" s="25" t="n"/>
      <s:c r="H24" s="68" t="n"/>
      <s:c r="I24" s="27">
        <s:f>IFERROR(IF(G24*H24=0,"",G24*H24),"")</s:f>
        <s:v/>
      </s:c>
    </s:row>
    <s:row r="25">
      <s:c r="B25" s="28" t="n"/>
      <s:c r="C25" s="28" t="n"/>
      <s:c r="D25" s="28" t="n"/>
      <s:c r="E25" s="28" t="n"/>
      <s:c r="F25" s="28" t="n"/>
      <s:c r="G25" s="29" t="inlineStr">
        <s:is>
          <s:t>[42]</s:t>
        </s:is>
      </s:c>
      <s:c r="H25" s="30" t="inlineStr">
        <s:is>
          <s:t>Subtotal</s:t>
        </s:is>
      </s:c>
      <s:c r="I25" s="69">
        <s:f>SUM(I16:I24)</s:f>
        <s:v>520</s:v>
      </s:c>
    </s:row>
    <s:row r="26" ht="16.8" customHeight="1" s="63">
      <s:c r="B26" s="21" t="inlineStr">
        <s:is>
          <s:t>ADDITIONAL DETAILS</s:t>
        </s:is>
      </s:c>
      <s:c r="C26" s="32" t="n"/>
      <s:c r="D26" s="32" t="n"/>
      <s:c r="E26" s="32" t="n"/>
      <s:c r="F26" s="32" t="n"/>
      <s:c r="G26" s="32" t="n"/>
      <s:c r="H26" s="28" t="inlineStr">
        <s:is>
          <s:t>Freight</s:t>
        </s:is>
      </s:c>
      <s:c r="I26" s="69" t="n">
        <s:v>80</s:v>
      </s:c>
    </s:row>
    <s:row r="27" ht="16.5" customHeight="1" s="63">
      <s:c r="B27" s="16" t="inlineStr">
        <s:is>
          <s:t>PU Leather</s:t>
        </s:is>
      </s:c>
      <s:c r="C27" s="64" t="n"/>
      <s:c r="D27" s="64" t="n"/>
      <s:c r="E27" s="64" t="n"/>
      <s:c r="F27" s="64" t="n"/>
      <s:c r="H27" s="28" t="inlineStr">
        <s:is>
          <s:t>Set-up fee</s:t>
        </s:is>
      </s:c>
      <s:c r="I27" s="69" t="n">
        <s:v>50</s:v>
      </s:c>
    </s:row>
    <s:row r="28" ht="16.5" customHeight="1" s="63">
      <s:c r="B28" s="16" t="inlineStr">
        <s:is>
          <s:t>Brown</s:t>
        </s:is>
      </s:c>
      <s:c r="C28" s="64" t="n"/>
      <s:c r="D28" s="64" t="n"/>
      <s:c r="E28" s="64" t="n"/>
      <s:c r="F28" s="64" t="n"/>
      <s:c r="H28" s="28" t="inlineStr">
        <s:is>
          <s:t>Insurance</s:t>
        </s:is>
      </s:c>
      <s:c r="I28" s="69" t="n">
        <s:v>0</s:v>
      </s:c>
    </s:row>
    <s:row r="29" ht="16.5" customHeight="1" s="63">
      <s:c r="B29" s="16" t="inlineStr">
        <s:is>
          <s:t>DEBOSSED, same-color material, isotype only</s:t>
        </s:is>
      </s:c>
      <s:c r="C29" s="64" t="n"/>
      <s:c r="D29" s="64" t="n"/>
      <s:c r="E29" s="64" t="n"/>
      <s:c r="F29" s="64" t="n"/>
      <s:c r="H29" s="34" t="inlineStr">
        <s:is>
          <s:t>Inspection/Cert.</s:t>
        </s:is>
      </s:c>
      <s:c r="I29" s="69" t="n">
        <s:v>0</s:v>
      </s:c>
    </s:row>
    <s:row r="30" ht="16.5" customHeight="1" s="63">
      <s:c r="B30" s="15" t="inlineStr">
        <s:is>
          <s:t>Same-color material</s:t>
        </s:is>
      </s:c>
      <s:c r="H30" s="28" t="inlineStr">
        <s:is>
          <s:t>Other (specify)</s:t>
        </s:is>
      </s:c>
      <s:c r="I30" s="69" t="n">
        <s:v>0</s:v>
      </s:c>
    </s:row>
    <s:row r="31" ht="17.55" customHeight="1" s="63">
      <s:c r="B31" s="35" t="n"/>
      <s:c r="C31" s="35" t="n"/>
      <s:c r="D31" s="35" t="n"/>
      <s:c r="E31" s="35" t="inlineStr">
        <s:is>
          <s:t>Pay by CHECK or Wire transfer</s:t>
        </s:is>
      </s:c>
      <s:c r="F31" s="35" t="n"/>
      <s:c r="G31" s="36" t="n"/>
      <s:c r="H31" s="37" t="inlineStr">
        <s:is>
          <s:t>TOTAL</s:t>
        </s:is>
      </s:c>
      <s:c r="I31" s="70">
        <s:f>SUM(I25:I30)</s:f>
        <s:v>650</s:v>
      </s:c>
    </s:row>
    <s:row r="32" ht="15.95" customHeight="1" s="63">
      <s:c r="B32" s="59" t="n"/>
      <s:c r="C32" s="59" t="n"/>
      <s:c r="D32" s="59" t="n"/>
      <s:c r="F32" s="59" t="n"/>
      <s:c r="G32" s="59" t="n"/>
    </s:row>
    <s:row r="33" ht="17.55" customHeight="1" s="63">
      <s:c r="B33" s="40" t="n"/>
      <s:c r="C33" s="40" t="n"/>
      <s:c r="D33" s="40" t="n"/>
      <s:c r="E33" s="40" t="inlineStr">
        <s:is>
          <s:t>Pay by Credit Card</s:t>
        </s:is>
      </s:c>
      <s:c r="F33" s="40" t="n"/>
      <s:c r="G33" s="59" t="n"/>
      <s:c r="H33" s="37" t="inlineStr">
        <s:is>
          <s:t>TOTAL</s:t>
        </s:is>
      </s:c>
      <s:c r="I33" s="70">
        <s:f>I31*1.035</s:f>
        <s:v>672.75</s:v>
      </s:c>
    </s:row>
    <s:row r="34">
      <s:c r="B34" s="59" t="n"/>
      <s:c r="C34" s="59" t="n"/>
      <s:c r="D34" s="59" t="n"/>
      <s:c r="E34" s="59" t="n"/>
      <s:c r="F34" s="59" t="n"/>
      <s:c r="G34" s="59" t="n"/>
      <s:c r="H34" s="36" t="inlineStr">
        <s:is>
          <s:t>Currency</s:t>
        </s:is>
      </s:c>
      <s:c r="I34" s="41" t="inlineStr">
        <s:is>
          <s:t>USD</s:t>
        </s:is>
      </s:c>
    </s:row>
    <s:row r="35">
      <s:c r="B35" s="36" t="n"/>
      <s:c r="C35" s="36" t="n"/>
      <s:c r="D35" s="36" t="n"/>
      <s:c r="E35" s="36" t="n"/>
      <s:c r="F35" s="45" t="n"/>
      <s:c r="G35" s="43" t="n"/>
      <s:c r="H35" s="44" t="n"/>
      <s:c r="I35" s="41" t="n"/>
    </s:row>
    <s:row r="36">
      <s:c r="B36" s="36" t="n"/>
      <s:c r="C36" s="36" t="n"/>
      <s:c r="D36" s="36" t="n"/>
      <s:c r="E36" s="36" t="n"/>
      <s:c r="F36" s="45" t="n"/>
      <s:c r="G36" s="43" t="n"/>
      <s:c r="H36" s="44" t="n"/>
      <s:c r="I36" s="41" t="n"/>
    </s:row>
    <s:row r="37" ht="63" customHeight="1" s="63">
      <s:c r="B37" s="46" t="inlineStr">
        <s:is>
          <s:t>Payment Information and Notes</s:t>
        </s:is>
      </s:c>
    </s:row>
    <s:row r="38" ht="19.5" customFormat="1" customHeight="1" s="1">
      <s:c r="B38" s="32" t="inlineStr">
        <s:is>
          <s:t>1. Pay Via Check</s:t>
        </s:is>
      </s:c>
      <s:c r="C38" s="32" t="n"/>
      <s:c r="D38" s="32" t="n"/>
      <s:c r="E38" s="32" t="n"/>
      <s:c r="F38" s="32" t="n"/>
      <s:c r="G38" s="32" t="n"/>
      <s:c r="H38" s="32" t="n"/>
      <s:c r="I38" s="32" t="n"/>
    </s:row>
    <s:row r="39" ht="19.5" customFormat="1" customHeight="1" s="1">
      <s:c r="B39" s="47" t="inlineStr">
        <s:is>
          <s:t>Company Name:</s:t>
        </s:is>
      </s:c>
      <s:c r="C39" s="48" t="inlineStr">
        <s:is>
          <s:t>LogoPress Trading Inc</s:t>
        </s:is>
      </s:c>
      <s:c r="D39" s="49" t="n"/>
      <s:c r="E39" s="49" t="n"/>
      <s:c r="F39" s="49" t="n"/>
      <s:c r="G39" s="49" t="n"/>
      <s:c r="H39" s="49" t="n"/>
      <s:c r="I39" s="49" t="n"/>
    </s:row>
    <s:row r="40" ht="19.5" customFormat="1" customHeight="1" s="1">
      <s:c r="B40" s="47" t="inlineStr">
        <s:is>
          <s:t>Mailing Address:</s:t>
        </s:is>
      </s:c>
      <s:c r="C40" s="48" t="inlineStr">
        <s:is>
          <s:t>6118 Batesole Dr Santa Rosa, CA 95404-9504</s:t>
        </s:is>
      </s:c>
      <s:c r="D40" s="49" t="n"/>
      <s:c r="E40" s="49" t="n"/>
      <s:c r="F40" s="49" t="n"/>
      <s:c r="G40" s="49" t="n"/>
      <s:c r="H40" s="49" t="n"/>
      <s:c r="I40" s="49" t="n"/>
    </s:row>
    <s:row r="41" ht="21" customFormat="1" customHeight="1" s="1">
      <s:c r="B41" s="47" t="inlineStr">
        <s:is>
          <s:t>Tel:</s:t>
        </s:is>
      </s:c>
      <s:c r="C41" s="50" t="inlineStr">
        <s:is>
          <s:t>(307)3339062</s:t>
        </s:is>
      </s:c>
      <s:c r="D41" s="51" t="n"/>
      <s:c r="E41" s="51" t="n"/>
      <s:c r="F41" s="51" t="n"/>
      <s:c r="G41" s="51" t="n"/>
      <s:c r="H41" s="51" t="n"/>
      <s:c r="I41" s="49" t="n"/>
    </s:row>
    <s:row r="42" ht="19.5" customFormat="1" customHeight="1" s="1">
      <s:c r="B42" s="47" t="inlineStr">
        <s:is>
          <s:t>Account Number:</s:t>
        </s:is>
      </s:c>
      <s:c r="C42" s="48" t="n">
        <s:v>8003349563</s:v>
      </s:c>
      <s:c r="D42" s="49" t="n"/>
      <s:c r="E42" s="49" t="n"/>
      <s:c r="F42" s="49" t="n"/>
      <s:c r="G42" s="49" t="n"/>
      <s:c r="H42" s="49" t="n"/>
      <s:c r="I42" s="49" t="n"/>
    </s:row>
    <s:row r="43" ht="19.5" customFormat="1" customHeight="1" s="1">
      <s:c r="B43" s="52" t="inlineStr">
        <s:is>
          <s:t>Note:</s:t>
        </s:is>
      </s:c>
      <s:c r="C43" s="49" t="n"/>
      <s:c r="D43" s="49" t="n"/>
      <s:c r="E43" s="49" t="n"/>
      <s:c r="F43" s="49" t="n"/>
      <s:c r="G43" s="49" t="n"/>
      <s:c r="H43" s="49" t="n"/>
      <s:c r="I43" s="49" t="n"/>
    </s:row>
    <s:row r="44" ht="19.5" customFormat="1" customHeight="1" s="1">
      <s:c r="B44" s="52" t="inlineStr">
        <s:is>
          <s:t>1) Please write sales representative’s name and PO#/PI# on the check so the order can be easily recognized.</s:t>
        </s:is>
      </s:c>
      <s:c r="C44" s="49" t="n"/>
      <s:c r="D44" s="49" t="n"/>
      <s:c r="E44" s="49" t="n"/>
      <s:c r="F44" s="49" t="n"/>
      <s:c r="G44" s="49" t="n"/>
      <s:c r="H44" s="49" t="n"/>
      <s:c r="I44" s="49" t="n"/>
    </s:row>
    <s:row r="45" ht="31" customFormat="1" customHeight="1" s="1">
      <s:c r="B45" s="53" t="inlineStr">
        <s:is>
          <s:t>2) Please email the scanned original check to your sales rep before shipping. Avoid selecting check as a payment method if the scan is unavailable.</s:t>
        </s:is>
      </s:c>
    </s:row>
    <s:row r="46" ht="19.5" customFormat="1" customHeight="1" s="1">
      <s:c r="B46" s="54" t="n"/>
      <s:c r="C46" s="55" t="n"/>
      <s:c r="D46" s="55" t="n"/>
      <s:c r="E46" s="55" t="n"/>
      <s:c r="F46" s="55" t="n"/>
      <s:c r="G46" s="55" t="n"/>
      <s:c r="H46" s="55" t="n"/>
      <s:c r="I46" s="71">
        <s:f>I31</s:f>
        <s:v/>
      </s:c>
    </s:row>
    <s:row r="47" ht="19.5" customFormat="1" customHeight="1" s="1">
      <s:c r="B47" s="32" t="inlineStr">
        <s:is>
          <s:t>2. Pay Via Transfer</s:t>
        </s:is>
      </s:c>
      <s:c r="C47" s="32" t="n"/>
      <s:c r="D47" s="32" t="n"/>
      <s:c r="E47" s="32" t="n"/>
      <s:c r="F47" s="32" t="n"/>
      <s:c r="G47" s="32" t="n"/>
      <s:c r="H47" s="32" t="n"/>
      <s:c r="I47" s="32" t="n"/>
    </s:row>
    <s:row r="48" ht="19.5" customFormat="1" customHeight="1" s="1">
      <s:c r="B48" s="57" t="inlineStr">
        <s:is>
          <s:t>Name of Bank: East West Bank</s:t>
        </s:is>
      </s:c>
      <s:c r="C48" s="55" t="n"/>
      <s:c r="D48" s="55" t="n"/>
      <s:c r="E48" s="55" t="n"/>
      <s:c r="F48" s="55" t="n"/>
      <s:c r="G48" s="55" t="n"/>
      <s:c r="H48" s="55" t="n"/>
      <s:c r="I48" s="55" t="n"/>
    </s:row>
    <s:row r="49" ht="19.5" customFormat="1" customHeight="1" s="1">
      <s:c r="B49" s="57" t="inlineStr">
        <s:is>
          <s:t>Bank address:(branch address) 9300 Flair Drive, 4th Fl.branch city, state, zip) El Monte, CA 91731</s:t>
        </s:is>
      </s:c>
      <s:c r="C49" s="57" t="n"/>
      <s:c r="D49" s="57" t="n"/>
      <s:c r="E49" s="57" t="n"/>
      <s:c r="F49" s="57" t="n"/>
      <s:c r="G49" s="57" t="n"/>
      <s:c r="H49" s="57" t="n"/>
      <s:c r="I49" s="57" t="n"/>
    </s:row>
    <s:row r="50" ht="19.5" customFormat="1" customHeight="1" s="1">
      <s:c r="B50" s="57" t="inlineStr">
        <s:is>
          <s:t>SWIFT Code: EWBKUS66XXX</s:t>
        </s:is>
      </s:c>
      <s:c r="C50" s="55" t="n"/>
      <s:c r="D50" s="55" t="n"/>
      <s:c r="E50" s="55" t="n"/>
      <s:c r="F50" s="55" t="n"/>
      <s:c r="G50" s="55" t="n"/>
      <s:c r="H50" s="55" t="n"/>
      <s:c r="I50" s="55" t="n"/>
    </s:row>
    <s:row r="51" ht="19.5" customFormat="1" customHeight="1" s="1">
      <s:c r="B51" s="57" t="inlineStr">
        <s:is>
          <s:t>Bank Routing Number:  (domestic wires) 3 | 2 | 2 | 0 | 7 | 0 | 3 | 8 | 1</s:t>
        </s:is>
      </s:c>
      <s:c r="C51" s="55" t="n"/>
      <s:c r="D51" s="55" t="n"/>
      <s:c r="E51" s="55" t="n"/>
      <s:c r="F51" s="55" t="n"/>
      <s:c r="G51" s="55" t="n"/>
      <s:c r="H51" s="55" t="n"/>
      <s:c r="I51" s="55" t="n"/>
    </s:row>
    <s:row r="52" ht="19.25" customFormat="1" customHeight="1" s="1">
      <s:c r="B52" s="57" t="inlineStr">
        <s:is>
          <s:t xml:space="preserve">                                    (international wires) EWBKUS66XXX</s:t>
        </s:is>
      </s:c>
      <s:c r="C52" s="55" t="n"/>
      <s:c r="D52" s="55" t="n"/>
      <s:c r="E52" s="55" t="n"/>
      <s:c r="F52" s="55" t="n"/>
      <s:c r="G52" s="55" t="n"/>
      <s:c r="H52" s="55" t="n"/>
      <s:c r="I52" s="55" t="n"/>
    </s:row>
    <s:row r="53" ht="19.5" customFormat="1" customHeight="1" s="1">
      <s:c r="B53" s="57" t="inlineStr">
        <s:is>
          <s:t>Recipient Name: LogoPress Trading Inc</s:t>
        </s:is>
      </s:c>
      <s:c r="C53" s="55" t="n"/>
      <s:c r="D53" s="55" t="n"/>
      <s:c r="E53" s="55" t="n"/>
      <s:c r="F53" s="55" t="n"/>
      <s:c r="G53" s="55" t="n"/>
      <s:c r="H53" s="55" t="n"/>
      <s:c r="I53" s="55" t="n"/>
    </s:row>
    <s:row r="54" ht="19.5" customFormat="1" customHeight="1" s="1">
      <s:c r="B54" s="58" t="inlineStr">
        <s:is>
          <s:t>Account Number: 8003349563</s:t>
        </s:is>
      </s:c>
      <s:c r="C54" s="55" t="n"/>
      <s:c r="D54" s="55" t="n"/>
      <s:c r="E54" s="55" t="n"/>
      <s:c r="F54" s="55" t="n"/>
      <s:c r="G54" s="55" t="n"/>
      <s:c r="H54" s="55" t="n"/>
      <s:c r="I54" s="71">
        <s:f>I31</s:f>
        <s:v/>
      </s:c>
    </s:row>
    <s:row r="55" ht="19.5" customFormat="1" customHeight="1" s="1">
      <s:c r="B55" s="32" t="inlineStr">
        <s:is>
          <s:t>3. Pay Via Credit Card</s:t>
        </s:is>
      </s:c>
      <s:c r="C55" s="32" t="n"/>
      <s:c r="D55" s="32" t="n"/>
      <s:c r="E55" s="32" t="n"/>
      <s:c r="F55" s="32" t="n"/>
      <s:c r="G55" s="32" t="n"/>
      <s:c r="H55" s="32" t="n"/>
      <s:c r="I55" s="32" t="n"/>
    </s:row>
    <s:row r="56" ht="26" customHeight="1" s="63">
      <s:c r="B56" s="59" t="inlineStr">
        <s:is>
          <s:t xml:space="preserve">1) Please note that paying by credit card comes with a 3.50% handling charge.
</s:t>
        </s:is>
      </s:c>
      <s:c r="C56" s="59" t="n"/>
      <s:c r="D56" s="59" t="n"/>
      <s:c r="E56" s="59" t="n"/>
      <s:c r="F56" s="59" t="n"/>
      <s:c r="G56" s="59" t="n"/>
      <s:c r="H56" s="59" t="n"/>
      <s:c r="I56" s="59" t="n"/>
    </s:row>
    <s:row r="57" ht="19.5" customHeight="1" s="63">
      <s:c r="B57" s="59" t="inlineStr">
        <s:is>
          <s:t>2) For credit card payment, please contact your sales rep to set up the payment link.</s:t>
        </s:is>
      </s:c>
      <s:c r="C57" s="59" t="n"/>
      <s:c r="D57" s="59" t="n"/>
      <s:c r="E57" s="59" t="n"/>
      <s:c r="F57" s="59" t="n"/>
      <s:c r="G57" s="59" t="n"/>
      <s:c r="H57" s="59" t="n"/>
      <s:c r="I57" s="59" t="n"/>
    </s:row>
    <s:row r="58">
      <s:c r="B58" s="60" t="n"/>
      <s:c r="C58" s="28" t="n"/>
      <s:c r="D58" s="28" t="n"/>
      <s:c r="E58" s="28" t="n"/>
      <s:c r="F58" s="28" t="n"/>
      <s:c r="G58" s="28" t="n"/>
      <s:c r="H58" s="28" t="n"/>
      <s:c r="I58" s="71">
        <s:f>I33</s:f>
        <s:v/>
      </s:c>
    </s:row>
    <s:row r="59">
      <s:c r="B59" s="28" t="n"/>
      <s:c r="C59" s="28" t="n"/>
      <s:c r="D59" s="28" t="n"/>
      <s:c r="E59" s="28" t="n"/>
      <s:c r="F59" s="28" t="n"/>
      <s:c r="G59" s="28" t="n"/>
      <s:c r="H59" s="62" t="inlineStr">
        <s:is>
          <s:t>(3.50% handing charge included)</s:t>
        </s:is>
      </s:c>
    </s:row>
  </s:sheetData>
  <s:mergeCells count="31">
    <s:mergeCell ref="E12:F12"/>
    <s:mergeCell ref="C17:F17"/>
    <s:mergeCell ref="C23:F23"/>
    <s:mergeCell ref="E14:F14"/>
    <s:mergeCell ref="C19:F19"/>
    <s:mergeCell ref="B27:F27"/>
    <s:mergeCell ref="B12:C12"/>
    <s:mergeCell ref="C18:F18"/>
    <s:mergeCell ref="H59:I59"/>
    <s:mergeCell ref="B11:C11"/>
    <s:mergeCell ref="E10:F10"/>
    <s:mergeCell ref="B14:C14"/>
    <s:mergeCell ref="E13:F13"/>
    <s:mergeCell ref="C15:F15"/>
    <s:mergeCell ref="C24:F24"/>
    <s:mergeCell ref="E9:F9"/>
    <s:mergeCell ref="B13:C13"/>
    <s:mergeCell ref="B29:F29"/>
    <s:mergeCell ref="D2:I3"/>
    <s:mergeCell ref="C20:F20"/>
    <s:mergeCell ref="B28:F28"/>
    <s:mergeCell ref="B10:C10"/>
    <s:mergeCell ref="E11:F11"/>
    <s:mergeCell ref="C16:F16"/>
    <s:mergeCell ref="B37:I37"/>
    <s:mergeCell ref="B9:C9"/>
    <s:mergeCell ref="C22:F22"/>
    <s:mergeCell ref="B30:F30"/>
    <s:mergeCell ref="H8:I8"/>
    <s:mergeCell ref="C21:F21"/>
    <s:mergeCell ref="B45:I45"/>
  </s:mergeCells>
  <s:hyperlinks>
    <s:hyperlink ref="C7" display="Edward@logopressinc.com" r:id="rId1"/>
  </s:hyperlinks>
  <s:printOptions horizontalCentered="1"/>
  <s:pageMargins left="0.25" right="0.25" top="0.75" bottom="0.75" header="0.298611111111111" footer="0.298611111111111"/>
  <s:pageSetup orientation="portrait" paperSize="9" scale="80" fitToHeight="0"/>
  <s:rowBreaks count="1" manualBreakCount="1">
    <s:brk id="36" min="0" max="9" man="1"/>
  </s:rowBreaks>
  <s:drawing r:id="rId2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old lee</dc:creator>
  <dcterms:created xsi:type="dcterms:W3CDTF">2024-09-10T23:52:00Z</dcterms:created>
  <dcterms:modified xsi:type="dcterms:W3CDTF">2026-07-22T15:12:54Z</dcterms:modified>
  <cp:lastModifiedBy>陈鹏° Vincent Chen</cp:lastModifiedBy>
  <cp:lastPrinted>2024-11-10T00:56:00Z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2786F6D7EC304EEDB64AE269E9223505_43</vt:lpwstr>
  </property>
  <property name="KSOProductBuildVer" fmtid="{D5CDD505-2E9C-101B-9397-08002B2CF9AE}" pid="3">
    <vt:lpwstr>2052-12.1.25869.25869</vt:lpwstr>
  </property>
  <property name="CalculationRule" fmtid="{D5CDD505-2E9C-101B-9397-08002B2CF9AE}" pid="4">
    <vt:i4>0</vt:i4>
  </property>
</Properties>
</file>