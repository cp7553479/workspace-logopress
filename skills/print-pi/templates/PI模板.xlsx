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20"/>
  </bookViews>
  <sheets>
    <sheet name="PI" sheetId="1" r:id="rId1"/>
  </sheets>
  <definedNames>
    <definedName name="valuevx">42.314159</definedName>
    <definedName name="_xlnm.Print_Area" localSheetId="0">PI!$A$1:$J$59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<sst xmlns="http://schemas.openxmlformats.org/spreadsheetml/2006/main" count="96" uniqueCount="93">
  <si>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PROFORMA INVOICE</t>
  </si>
  <si>
    <t>Address:</t>
  </si>
  <si>
    <t>201 N WOLCOTT ST STE 203 Casper WY 82601  LogoPress Trading Inc</t>
  </si>
  <si>
    <t>DATE</t>
  </si>
  <si>
    <t>@Order Date</t>
  </si>
  <si>
    <t>Tel:</t>
  </si>
  <si>
    <t>(307) 2072111</t>
  </si>
  <si>
    <t>PI #</t>
  </si>
  <si>
    <t>@PI</t>
  </si>
  <si>
    <t>Attn:</t>
  </si>
  <si>
    <t>Edward</t>
  </si>
  <si>
    <t>PO #</t>
  </si>
  <si>
    <t>@PO</t>
  </si>
  <si>
    <t>Email:</t>
  </si>
  <si>
    <t>Edward@logopressinc.com</t>
  </si>
  <si>
    <t>PAYMENT TERM</t>
  </si>
  <si>
    <t>100% Prepayment</t>
  </si>
  <si>
    <t>CUSTOMER</t>
  </si>
  <si>
    <t>SHIP TO</t>
  </si>
  <si>
    <t>SHIPPING DETAILS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</si>
  <si>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客户</t>
    </r>
    <r>
      <rPr>
        <sz val="10"/>
        <rFont val="Helvetica Neue Regular"/>
        <charset val="134"/>
      </rPr>
      <t xml:space="preserve"> </t>
    </r>
    <r>
      <rPr>
        <sz val="10"/>
        <rFont val="宋体-简"/>
        <charset val="134"/>
      </rPr>
      <t>公司名称</t>
    </r>
  </si>
  <si>
    <t>@S.T Company</t>
  </si>
  <si>
    <t>Order Date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</si>
  <si>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客户</t>
    </r>
    <r>
      <rPr>
        <sz val="10"/>
        <rFont val="Helvetica Neue Regular"/>
        <charset val="134"/>
      </rPr>
      <t xml:space="preserve"> </t>
    </r>
    <r>
      <rPr>
        <sz val="10"/>
        <rFont val="宋体-简"/>
        <charset val="134"/>
      </rPr>
      <t>公司地址</t>
    </r>
  </si>
  <si>
    <t>@S.T Address</t>
  </si>
  <si>
    <t>Ship Date</t>
  </si>
  <si>
    <t>@Ship Date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</si>
  <si>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客户姓名</t>
    </r>
  </si>
  <si>
    <t>@S.T Attn</t>
  </si>
  <si>
    <t>In-Hands Date</t>
  </si>
  <si>
    <t>@In-Hands Date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</si>
  <si>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客户电话</t>
    </r>
  </si>
  <si>
    <t>@S.T Phone</t>
  </si>
  <si>
    <t>Freight Type</t>
  </si>
  <si>
    <t>FEDEX/UPS/DHL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</si>
  <si>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客户邮箱</t>
    </r>
  </si>
  <si>
    <t>@S.T Email</t>
  </si>
  <si>
    <t>Total Packages</t>
  </si>
  <si>
    <r>
      <rPr>
        <sz val="10"/>
        <rFont val="Helvetica Neue Regular"/>
        <charset val="134"/>
      </rPr>
      <t>@</t>
    </r>
    <r>
      <rPr>
        <sz val="10"/>
        <rFont val="宋体-简"/>
        <charset val="134"/>
      </rPr>
      <t>发货包裹数</t>
    </r>
  </si>
  <si>
    <t>Product Number</t>
  </si>
  <si>
    <t>DESCRIPTION</t>
  </si>
  <si>
    <t>QTY</t>
  </si>
  <si>
    <t>UNIT PRICE</t>
  </si>
  <si>
    <t>TOTAL AMOUNT</t>
  </si>
  <si>
    <t>@商品编号</t>
  </si>
  <si>
    <t>@商品名称</t>
  </si>
  <si>
    <t>@QTY</t>
  </si>
  <si>
    <t>@UNIT PRICE</t>
  </si>
  <si>
    <t>[42]</t>
  </si>
  <si>
    <t>Subtotal</t>
  </si>
  <si>
    <t>ADDITIONAL DETAILS</t>
  </si>
  <si>
    <t>Freight</t>
  </si>
  <si>
    <t>@Freight</t>
  </si>
  <si>
    <t>Item Material:</t>
  </si>
  <si>
    <t>Set-up fee</t>
  </si>
  <si>
    <t>@Set-up fee</t>
  </si>
  <si>
    <t>Item Color:</t>
  </si>
  <si>
    <t>Insurance</t>
  </si>
  <si>
    <t>@Insurance</t>
  </si>
  <si>
    <t xml:space="preserve">Imprint Method: </t>
  </si>
  <si>
    <t>Inspection/Cert.</t>
  </si>
  <si>
    <t>@Inspection|Cert.</t>
  </si>
  <si>
    <t xml:space="preserve">Logo color: </t>
  </si>
  <si>
    <t>Other (specify)</t>
  </si>
  <si>
    <t>@Other (specify)</t>
  </si>
  <si>
    <t>Pay by CHECK or Wire transfer</t>
  </si>
  <si>
    <t>TOTAL</t>
  </si>
  <si>
    <t>Pay by Credit Card</t>
  </si>
  <si>
    <t>Currency</t>
  </si>
  <si>
    <t>USD</t>
  </si>
  <si>
    <t>Payment Information and Notes</t>
  </si>
  <si>
    <t>1. Pay Via Check</t>
  </si>
  <si>
    <t>Company Name:</t>
  </si>
  <si>
    <t>LogoPress Trading Inc</t>
  </si>
  <si>
    <t>Mailing Address:</t>
  </si>
  <si>
    <t>6118 Batesole Dr Santa Rosa, CA 95404-9504</t>
  </si>
  <si>
    <t>(307)3339062</t>
  </si>
  <si>
    <t>Account Number:</t>
  </si>
  <si>
    <t>Note:</t>
  </si>
  <si>
    <t>1) Please write sales representative’s name and PO#/PI# on the check so the order can be easily recognized.</t>
  </si>
  <si>
    <t>2) Please email the scanned original check to your sales rep before shipping. Avoid selecting check as a payment method if the scan is unavailable.</t>
  </si>
  <si>
    <t>2. Pay Via Transfer</t>
  </si>
  <si>
    <t>Name of Bank: East West Bank</t>
  </si>
  <si>
    <t>Bank address:(branch address) 9300 Flair Drive, 4th Fl.branch city, state, zip) El Monte, CA 91731</t>
  </si>
  <si>
    <t>SWIFT Code: EWBKUS66XXX</t>
  </si>
  <si>
    <t>Bank Routing Number:  (domestic wires) 3 | 2 | 2 | 0 | 7 | 0 | 3 | 8 | 1</t>
  </si>
  <si>
    <t xml:space="preserve">                                    (international wires) EWBKUS66XXX</t>
  </si>
  <si>
    <t>Recipient Name: LogoPress Trading Inc</t>
  </si>
  <si>
    <t>Account Number: 8003349563</t>
  </si>
  <si>
    <t>3. Pay Via Credit Card</t>
  </si>
  <si>
    <t xml:space="preserve">1) Please note that paying by credit card comes with a 3.50% handling charge.
</t>
  </si>
  <si>
    <t>2) For credit card payment, please contact your sales rep to set up the payment link.</t>
  </si>
  <si>
    <t>(3.50% handing charge included)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</si>
</sst>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;@"/>
    <numFmt numFmtId="177" formatCode="0.00_ 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 &quot;&quot;$&quot;* #,##0.00&quot; &quot;;&quot; &quot;&quot;$&quot;* \(#,##0.00\);&quot; &quot;&quot;$&quot;* &quot;-&quot;??&quot; &quot;"/>
  </numFmts>
  <fonts count="40">
    <font>
      <sz val="11"/>
      <color theme="1"/>
      <name val="宋体"/>
      <charset val="134"/>
      <scheme val="minor"/>
    </font>
    <font>
      <sz val="10"/>
      <color indexed="8"/>
      <name val="Helvetica Neue Regular"/>
      <charset val="134"/>
    </font>
    <font>
      <sz val="10"/>
      <name val="Helvetica Neue Regular"/>
      <charset val="134"/>
    </font>
    <font>
      <sz val="18"/>
      <name val="Helvetica Neue Regular"/>
      <charset val="134"/>
    </font>
    <font>
      <b/>
      <sz val="36"/>
      <color rgb="FF09437A"/>
      <name val="Helvetica Neue Regular"/>
      <charset val="134"/>
    </font>
    <font>
      <sz val="10"/>
      <color theme="4"/>
      <name val="Helvetica Neue Regular"/>
      <charset val="134"/>
    </font>
    <font>
      <b/>
      <sz val="11"/>
      <color indexed="9"/>
      <name val="Helvetica Neue Regular"/>
      <charset val="134"/>
    </font>
    <font>
      <sz val="9"/>
      <name val="Helvetica Neue Regular"/>
      <charset val="134"/>
    </font>
    <font>
      <sz val="9"/>
      <color rgb="FF212529"/>
      <name val="Helvetica Neue Regular"/>
      <charset val="134"/>
    </font>
    <font>
      <sz val="10"/>
      <name val="Helvetica Neue Regular"/>
      <charset val="129"/>
    </font>
    <font>
      <sz val="8"/>
      <color indexed="9"/>
      <name val="Helvetica Neue Regular"/>
      <charset val="134"/>
    </font>
    <font>
      <b/>
      <sz val="10"/>
      <name val="Helvetica Neue Regular"/>
      <charset val="134"/>
    </font>
    <font>
      <b/>
      <sz val="11"/>
      <name val="Helvetica Neue Regular"/>
      <charset val="134"/>
    </font>
    <font>
      <b/>
      <sz val="11"/>
      <color theme="0"/>
      <name val="Helvetica Neue Regular"/>
      <charset val="134"/>
    </font>
    <font>
      <b/>
      <sz val="28"/>
      <color rgb="FF09437A"/>
      <name val="Helvetica Neue Regular"/>
      <charset val="134"/>
    </font>
    <font>
      <sz val="10"/>
      <color rgb="FF000000"/>
      <name val="Helvetica Neue Regular"/>
      <charset val="134"/>
    </font>
    <font>
      <b/>
      <sz val="10"/>
      <color indexed="8"/>
      <name val="Helvetica Neue Regular"/>
      <charset val="134"/>
    </font>
    <font>
      <sz val="10"/>
      <color rgb="FFFF0000"/>
      <name val="Helvetica Neue Regular"/>
      <charset val="134"/>
    </font>
    <font>
      <b/>
      <sz val="10"/>
      <color indexed="19"/>
      <name val="Helvetica Neue Regular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6" borderId="9" applyNumberFormat="0" applyAlignment="0" applyProtection="0">
      <alignment vertical="center"/>
    </xf>
    <xf numFmtId="0" fontId="29" fillId="6" borderId="8" applyNumberFormat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8" fillId="0" borderId="0"/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2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>
      <alignment horizontal="left"/>
    </xf>
    <xf numFmtId="176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2" fillId="2" borderId="0" xfId="0" applyFont="1" applyFill="1" applyAlignment="1">
      <alignment vertical="top"/>
    </xf>
    <xf numFmtId="0" fontId="5" fillId="0" borderId="0" xfId="0" applyFont="1" applyAlignment="1"/>
    <xf numFmtId="0" fontId="6" fillId="3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176" fontId="2" fillId="0" borderId="1" xfId="0" applyNumberFormat="1" applyFont="1" applyBorder="1" applyAlignment="1" applyProtection="1">
      <alignment horizontal="left" vertical="center"/>
      <protection locked="0"/>
    </xf>
    <xf numFmtId="176" fontId="2" fillId="0" borderId="0" xfId="0" applyNumberFormat="1" applyFont="1" applyAlignment="1">
      <alignment horizontal="left" vertical="center"/>
    </xf>
    <xf numFmtId="0" fontId="7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77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NumberFormat="1" applyFont="1" applyFill="1" applyBorder="1" applyAlignment="1" applyProtection="1">
      <alignment horizontal="right" vertical="center"/>
    </xf>
    <xf numFmtId="0" fontId="2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178" fontId="2" fillId="0" borderId="0" xfId="0" applyNumberFormat="1" applyFont="1" applyBorder="1" applyAlignment="1"/>
    <xf numFmtId="0" fontId="6" fillId="3" borderId="0" xfId="0" applyFont="1" applyFill="1" applyAlignment="1"/>
    <xf numFmtId="178" fontId="2" fillId="0" borderId="0" xfId="0" applyNumberFormat="1" applyFont="1" applyAlignment="1"/>
    <xf numFmtId="0" fontId="2" fillId="0" borderId="0" xfId="0" applyFont="1" applyAlignment="1">
      <alignment vertical="top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12" fillId="2" borderId="3" xfId="0" applyFont="1" applyFill="1" applyBorder="1" applyAlignment="1"/>
    <xf numFmtId="179" fontId="13" fillId="3" borderId="3" xfId="0" applyNumberFormat="1" applyFont="1" applyFill="1" applyBorder="1" applyAlignment="1"/>
    <xf numFmtId="0" fontId="2" fillId="2" borderId="0" xfId="0" applyFont="1" applyFill="1" applyAlignment="1"/>
    <xf numFmtId="0" fontId="2" fillId="2" borderId="4" xfId="0" applyFont="1" applyFill="1" applyBorder="1" applyAlignment="1"/>
    <xf numFmtId="0" fontId="11" fillId="2" borderId="0" xfId="0" applyFont="1" applyFill="1" applyAlignment="1" applyProtection="1">
      <alignment horizontal="center" vertical="top"/>
      <protection locked="0"/>
    </xf>
    <xf numFmtId="0" fontId="2" fillId="2" borderId="0" xfId="0" applyFont="1" applyFill="1" applyProtection="1">
      <alignment vertical="center"/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58" fontId="11" fillId="2" borderId="0" xfId="0" applyNumberFormat="1" applyFont="1" applyFill="1" applyAlignment="1">
      <alignment horizontal="left" vertical="top"/>
    </xf>
    <xf numFmtId="0" fontId="2" fillId="2" borderId="0" xfId="0" applyFont="1" applyFill="1" applyAlignment="1" applyProtection="1">
      <alignment vertical="center"/>
      <protection locked="0"/>
    </xf>
    <xf numFmtId="0" fontId="14" fillId="0" borderId="0" xfId="0" applyFont="1" applyAlignment="1">
      <alignment horizontal="center" vertical="center"/>
    </xf>
    <xf numFmtId="49" fontId="15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49" fontId="16" fillId="2" borderId="0" xfId="0" applyNumberFormat="1" applyFont="1" applyFill="1" applyAlignment="1">
      <alignment horizontal="left" vertical="center"/>
    </xf>
    <xf numFmtId="49" fontId="16" fillId="2" borderId="0" xfId="0" applyNumberFormat="1" applyFont="1" applyFill="1">
      <alignment vertical="center"/>
    </xf>
    <xf numFmtId="49" fontId="17" fillId="2" borderId="0" xfId="0" applyNumberFormat="1" applyFont="1" applyFill="1">
      <alignment vertical="center"/>
    </xf>
    <xf numFmtId="49" fontId="17" fillId="2" borderId="0" xfId="0" applyNumberFormat="1" applyFont="1" applyFill="1" applyAlignment="1">
      <alignment horizontal="left" vertical="center" wrapText="1"/>
    </xf>
    <xf numFmtId="49" fontId="11" fillId="0" borderId="0" xfId="0" applyNumberFormat="1" applyFont="1" applyAlignment="1"/>
    <xf numFmtId="0" fontId="1" fillId="2" borderId="0" xfId="0" applyFont="1" applyFill="1" applyAlignment="1"/>
    <xf numFmtId="180" fontId="17" fillId="2" borderId="0" xfId="0" applyNumberFormat="1" applyFont="1" applyFill="1" applyAlignment="1"/>
    <xf numFmtId="49" fontId="1" fillId="2" borderId="0" xfId="0" applyNumberFormat="1" applyFont="1" applyFill="1" applyAlignment="1"/>
    <xf numFmtId="49" fontId="2" fillId="0" borderId="0" xfId="0" applyNumberFormat="1" applyFont="1" applyAlignment="1"/>
    <xf numFmtId="0" fontId="2" fillId="2" borderId="0" xfId="0" applyFont="1" applyFill="1" applyBorder="1" applyAlignment="1"/>
    <xf numFmtId="49" fontId="18" fillId="2" borderId="0" xfId="0" applyNumberFormat="1" applyFont="1" applyFill="1" applyBorder="1" applyAlignment="1"/>
    <xf numFmtId="180" fontId="17" fillId="2" borderId="0" xfId="0" applyNumberFormat="1" applyFont="1" applyFill="1" applyBorder="1" applyAlignment="1"/>
    <xf numFmtId="0" fontId="17" fillId="0" borderId="0" xfId="0" applyFont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943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389255</xdr:colOff>
      <xdr:row>1</xdr:row>
      <xdr:rowOff>44450</xdr:rowOff>
    </xdr:from>
    <xdr:to>
      <xdr:col>1</xdr:col>
      <xdr:colOff>1137920</xdr:colOff>
      <xdr:row>2</xdr:row>
      <xdr:rowOff>270510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1215" y="171450"/>
          <a:ext cx="74866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ward@logopressin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59"/>
  <sheetViews>
    <sheetView tabSelected="1" view="pageBreakPreview" zoomScale="114" zoomScaleNormal="100" topLeftCell="A11" workbookViewId="0">
      <selection activeCell="H18" sqref="H18"/>
    </sheetView>
  </sheetViews>
  <sheetFormatPr defaultColWidth="8.33653846153846" defaultRowHeight="15.2"/>
  <cols>
    <col min="1" max="1" width="6.69230769230769" style="2" customWidth="1"/>
    <col min="2" max="3" width="17.6923076923077" style="2" customWidth="1"/>
    <col min="4" max="4" width="6.5" style="2" customWidth="1"/>
    <col min="5" max="6" width="17.6923076923077" style="2" customWidth="1"/>
    <col min="7" max="7" width="6.5" style="2" customWidth="1"/>
    <col min="8" max="8" width="16.6923076923077" style="2" customWidth="1"/>
    <col min="9" max="9" width="19.3942307692308" style="2" customWidth="1"/>
    <col min="10" max="10" width="6.69230769230769" style="2" customWidth="1"/>
    <col min="11" max="246" width="8.5" style="2"/>
    <col min="247" max="16384" width="8.33653846153846" style="2"/>
  </cols>
  <sheetData>
    <row r="1" ht="10" customHeight="1"/>
    <row r="2" ht="26" spans="2:13">
      <c r="B2" s="3"/>
      <c r="C2" s="4"/>
      <c r="D2" s="5" t="s">
        <v>0</v>
      </c>
      <c r="E2" s="5"/>
      <c r="F2" s="5"/>
      <c r="G2" s="5"/>
      <c r="H2" s="5"/>
      <c r="I2" s="5"/>
    </row>
    <row r="3" ht="26" customHeight="1" spans="2:13">
      <c r="B3" s="6"/>
      <c r="C3" s="6"/>
      <c r="D3" s="5"/>
      <c r="E3" s="5"/>
      <c r="F3" s="5"/>
      <c r="G3" s="5"/>
      <c r="H3" s="5"/>
      <c r="I3" s="5"/>
    </row>
    <row r="4" ht="15" customHeight="1" spans="2:13">
      <c r="B4" s="6" t="s">
        <v>1</v>
      </c>
      <c r="C4" s="6" t="s">
        <v>2</v>
      </c>
      <c r="D4" s="6"/>
      <c r="E4" s="6"/>
      <c r="F4" s="6"/>
      <c r="G4" s="7"/>
      <c r="H4" s="8" t="s">
        <v>3</v>
      </c>
      <c r="I4" s="9" t="s">
        <v>4</v>
      </c>
    </row>
    <row r="5" ht="15" customHeight="1" spans="2:13">
      <c r="B5" s="6" t="s">
        <v>5</v>
      </c>
      <c r="C5" s="6" t="s">
        <v>6</v>
      </c>
      <c r="D5" s="7"/>
      <c r="E5" s="7"/>
      <c r="F5" s="7"/>
      <c r="G5" s="6"/>
      <c r="H5" s="8" t="s">
        <v>7</v>
      </c>
      <c r="I5" s="10" t="s">
        <v>8</v>
      </c>
    </row>
    <row r="6" spans="2:13">
      <c r="B6" s="11" t="s">
        <v>9</v>
      </c>
      <c r="C6" s="6" t="s">
        <v>10</v>
      </c>
      <c r="D6" s="12"/>
      <c r="E6" s="12"/>
      <c r="F6" s="12"/>
      <c r="G6" s="6"/>
      <c r="H6" s="8" t="s">
        <v>11</v>
      </c>
      <c r="I6" s="10" t="s">
        <v>12</v>
      </c>
    </row>
    <row r="7" spans="2:13">
      <c r="B7" s="8" t="s">
        <v>13</v>
      </c>
      <c r="C7" s="6" t="s">
        <v>14</v>
      </c>
      <c r="D7" s="6"/>
      <c r="E7" s="12"/>
      <c r="F7" s="12"/>
      <c r="G7" s="6"/>
      <c r="H7" s="8" t="s">
        <v>15</v>
      </c>
      <c r="I7" s="10" t="s">
        <v>16</v>
      </c>
      <c r="L7" s="13"/>
    </row>
    <row r="8" ht="16.8" spans="2:13">
      <c r="B8" s="14" t="s">
        <v>17</v>
      </c>
      <c r="C8" s="14"/>
      <c r="D8" s="14"/>
      <c r="E8" s="14" t="s">
        <v>18</v>
      </c>
      <c r="F8" s="14"/>
      <c r="G8" s="14"/>
      <c r="H8" s="14" t="s">
        <v>19</v>
      </c>
      <c r="I8" s="14"/>
    </row>
    <row r="9" ht="26" customHeight="1" spans="2:13">
      <c r="B9" s="15" t="s">
        <v>20</v>
      </c>
      <c r="C9" s="15"/>
      <c r="D9" s="15"/>
      <c r="E9" s="15" t="s">
        <v>21</v>
      </c>
      <c r="F9" s="15"/>
      <c r="G9" s="16"/>
      <c r="H9" s="15" t="s">
        <v>22</v>
      </c>
      <c r="I9" s="17" t="s">
        <v>4</v>
      </c>
      <c r="M9" s="13"/>
    </row>
    <row r="10" ht="50" customHeight="1" spans="2:13">
      <c r="B10" s="15" t="s">
        <v>23</v>
      </c>
      <c r="C10" s="15"/>
      <c r="D10" s="15"/>
      <c r="E10" s="15" t="s">
        <v>24</v>
      </c>
      <c r="F10" s="15"/>
      <c r="G10" s="16"/>
      <c r="H10" s="15" t="s">
        <v>25</v>
      </c>
      <c r="I10" s="18" t="s">
        <v>26</v>
      </c>
    </row>
    <row r="11" ht="26" customHeight="1" spans="2:13">
      <c r="B11" s="15" t="s">
        <v>27</v>
      </c>
      <c r="C11" s="15"/>
      <c r="D11" s="15"/>
      <c r="E11" s="15" t="s">
        <v>28</v>
      </c>
      <c r="F11" s="15"/>
      <c r="G11" s="16"/>
      <c r="H11" s="15" t="s">
        <v>29</v>
      </c>
      <c r="I11" s="18" t="s">
        <v>30</v>
      </c>
    </row>
    <row r="12" ht="21" customHeight="1" spans="2:13">
      <c r="B12" s="15" t="s">
        <v>31</v>
      </c>
      <c r="C12" s="15"/>
      <c r="D12" s="15"/>
      <c r="E12" s="15" t="s">
        <v>32</v>
      </c>
      <c r="F12" s="15"/>
      <c r="G12" s="16"/>
      <c r="H12" s="15" t="s">
        <v>33</v>
      </c>
      <c r="I12" s="15" t="s">
        <v>34</v>
      </c>
    </row>
    <row r="13" ht="26" customHeight="1" spans="2:13">
      <c r="B13" s="15" t="s">
        <v>35</v>
      </c>
      <c r="C13" s="15"/>
      <c r="D13" s="15"/>
      <c r="E13" s="15" t="s">
        <v>36</v>
      </c>
      <c r="F13" s="15"/>
      <c r="G13" s="16"/>
      <c r="H13" s="15" t="s">
        <v>37</v>
      </c>
      <c r="I13" s="15" t="s">
        <v>38</v>
      </c>
    </row>
    <row r="14" ht="6" customHeight="1" spans="2:13">
      <c r="B14" s="19"/>
      <c r="C14" s="19"/>
      <c r="D14" s="20"/>
      <c r="E14" s="19"/>
      <c r="F14" s="19"/>
      <c r="G14" s="19"/>
      <c r="H14" s="8"/>
      <c r="I14" s="8"/>
    </row>
    <row r="15" ht="21" customHeight="1" spans="2:13">
      <c r="B15" s="21" t="s">
        <v>39</v>
      </c>
      <c r="C15" s="22" t="s">
        <v>40</v>
      </c>
      <c r="D15" s="22"/>
      <c r="E15" s="22"/>
      <c r="F15" s="22"/>
      <c r="G15" s="22" t="s">
        <v>41</v>
      </c>
      <c r="H15" s="22" t="s">
        <v>42</v>
      </c>
      <c r="I15" s="22" t="s">
        <v>43</v>
      </c>
    </row>
    <row r="16" ht="36" customHeight="1" spans="2:13">
      <c r="B16" s="23" t="s">
        <v>44</v>
      </c>
      <c r="C16" s="24" t="s">
        <v>45</v>
      </c>
      <c r="D16" s="24"/>
      <c r="E16" s="24"/>
      <c r="F16" s="24"/>
      <c r="G16" s="25" t="s">
        <v>46</v>
      </c>
      <c r="H16" s="26" t="s">
        <v>47</v>
      </c>
      <c r="I16" s="27" t="str">
        <f>IFERROR(IF(G16*H16=0,"",G16*H16),"")</f>
        <v/>
      </c>
    </row>
    <row r="17" ht="36" customHeight="1" spans="2:9">
      <c r="B17" s="23"/>
      <c r="C17" s="24"/>
      <c r="D17" s="24"/>
      <c r="E17" s="24"/>
      <c r="F17" s="24"/>
      <c r="G17" s="25"/>
      <c r="H17" s="26"/>
      <c r="I17" s="27" t="str">
        <f t="shared" ref="I17:I24" si="0">IFERROR(IF(G17*H17=0,"",G17*H17),"")</f>
        <v/>
      </c>
    </row>
    <row r="18" ht="36" customHeight="1" spans="2:9">
      <c r="B18" s="23"/>
      <c r="C18" s="24"/>
      <c r="D18" s="24"/>
      <c r="E18" s="24"/>
      <c r="F18" s="24"/>
      <c r="G18" s="25"/>
      <c r="H18" s="26"/>
      <c r="I18" s="27" t="str">
        <f t="shared" si="0"/>
        <v/>
      </c>
    </row>
    <row r="19" ht="36" customHeight="1" spans="2:9">
      <c r="B19" s="23"/>
      <c r="C19" s="24"/>
      <c r="D19" s="24"/>
      <c r="E19" s="24"/>
      <c r="F19" s="24"/>
      <c r="G19" s="25"/>
      <c r="H19" s="26"/>
      <c r="I19" s="27" t="str">
        <f t="shared" si="0"/>
        <v/>
      </c>
    </row>
    <row r="20" ht="36" customHeight="1" spans="2:9">
      <c r="B20" s="23"/>
      <c r="C20" s="24"/>
      <c r="D20" s="24"/>
      <c r="E20" s="24"/>
      <c r="F20" s="24"/>
      <c r="G20" s="25"/>
      <c r="H20" s="26"/>
      <c r="I20" s="27" t="str">
        <f t="shared" si="0"/>
        <v/>
      </c>
    </row>
    <row r="21" ht="36" customHeight="1" spans="2:9">
      <c r="B21" s="23"/>
      <c r="C21" s="24"/>
      <c r="D21" s="24"/>
      <c r="E21" s="24"/>
      <c r="F21" s="24"/>
      <c r="G21" s="25"/>
      <c r="H21" s="26"/>
      <c r="I21" s="27" t="str">
        <f t="shared" si="0"/>
        <v/>
      </c>
    </row>
    <row r="22" ht="36" customHeight="1" spans="2:9">
      <c r="B22" s="23"/>
      <c r="C22" s="24"/>
      <c r="D22" s="24"/>
      <c r="E22" s="24"/>
      <c r="F22" s="24"/>
      <c r="G22" s="25"/>
      <c r="H22" s="26"/>
      <c r="I22" s="27" t="str">
        <f t="shared" si="0"/>
        <v/>
      </c>
    </row>
    <row r="23" ht="36" customHeight="1" spans="2:9">
      <c r="B23" s="23"/>
      <c r="C23" s="24"/>
      <c r="D23" s="24"/>
      <c r="E23" s="24"/>
      <c r="F23" s="24"/>
      <c r="G23" s="25"/>
      <c r="H23" s="26"/>
      <c r="I23" s="27" t="str">
        <f t="shared" si="0"/>
        <v/>
      </c>
    </row>
    <row r="24" ht="36" customHeight="1" spans="2:9">
      <c r="B24" s="23"/>
      <c r="C24" s="24"/>
      <c r="D24" s="24"/>
      <c r="E24" s="24"/>
      <c r="F24" s="24"/>
      <c r="G24" s="25"/>
      <c r="H24" s="26"/>
      <c r="I24" s="27" t="str">
        <f t="shared" si="0"/>
        <v/>
      </c>
    </row>
    <row r="25" spans="2:9">
      <c r="B25" s="28"/>
      <c r="C25" s="28"/>
      <c r="D25" s="28"/>
      <c r="E25" s="28"/>
      <c r="F25" s="28"/>
      <c r="G25" s="29" t="s">
        <v>48</v>
      </c>
      <c r="H25" s="30" t="s">
        <v>49</v>
      </c>
      <c r="I25" s="31">
        <f>SUM(I16:I24)</f>
        <v>0</v>
      </c>
    </row>
    <row r="26" ht="16.8" spans="2:9">
      <c r="B26" s="21" t="s">
        <v>50</v>
      </c>
      <c r="C26" s="32"/>
      <c r="D26" s="32"/>
      <c r="E26" s="32"/>
      <c r="F26" s="32"/>
      <c r="G26" s="32"/>
      <c r="H26" s="2" t="s">
        <v>51</v>
      </c>
      <c r="I26" s="33" t="s">
        <v>52</v>
      </c>
    </row>
    <row r="27" ht="16.5" customHeight="1" spans="2:9">
      <c r="B27" s="16" t="s">
        <v>53</v>
      </c>
      <c r="C27" s="16"/>
      <c r="D27" s="16"/>
      <c r="E27" s="16"/>
      <c r="F27" s="16"/>
      <c r="H27" s="2" t="s">
        <v>54</v>
      </c>
      <c r="I27" s="33" t="s">
        <v>55</v>
      </c>
    </row>
    <row r="28" ht="16.5" customHeight="1" spans="2:9">
      <c r="B28" s="16" t="s">
        <v>56</v>
      </c>
      <c r="C28" s="16"/>
      <c r="D28" s="16"/>
      <c r="E28" s="16"/>
      <c r="F28" s="16"/>
      <c r="H28" s="2" t="s">
        <v>57</v>
      </c>
      <c r="I28" s="33" t="s">
        <v>58</v>
      </c>
    </row>
    <row r="29" ht="16.5" customHeight="1" spans="2:9">
      <c r="B29" s="16" t="s">
        <v>59</v>
      </c>
      <c r="C29" s="16"/>
      <c r="D29" s="16"/>
      <c r="E29" s="16"/>
      <c r="F29" s="16"/>
      <c r="H29" s="34" t="s">
        <v>60</v>
      </c>
      <c r="I29" s="33" t="s">
        <v>61</v>
      </c>
    </row>
    <row r="30" ht="16.5" customHeight="1" spans="2:9">
      <c r="B30" s="15" t="s">
        <v>62</v>
      </c>
      <c r="C30" s="15"/>
      <c r="D30" s="15"/>
      <c r="E30" s="15"/>
      <c r="F30" s="15"/>
      <c r="H30" s="2" t="s">
        <v>63</v>
      </c>
      <c r="I30" s="33" t="s">
        <v>64</v>
      </c>
    </row>
    <row r="31" ht="17.55" spans="2:9">
      <c r="B31" s="35"/>
      <c r="C31" s="35"/>
      <c r="D31" s="35"/>
      <c r="E31" s="35" t="s">
        <v>65</v>
      </c>
      <c r="F31" s="35"/>
      <c r="G31" s="36"/>
      <c r="H31" s="37" t="s">
        <v>66</v>
      </c>
      <c r="I31" s="38">
        <f>SUM(I25:I30)</f>
        <v>0</v>
      </c>
    </row>
    <row r="32" ht="15.95" spans="2:9">
      <c r="B32" s="39"/>
      <c r="C32" s="39"/>
      <c r="D32" s="39"/>
      <c r="F32" s="39"/>
      <c r="G32" s="39"/>
    </row>
    <row r="33" ht="17.55" spans="2:9">
      <c r="B33" s="40"/>
      <c r="C33" s="40"/>
      <c r="D33" s="40"/>
      <c r="E33" s="40" t="s">
        <v>67</v>
      </c>
      <c r="F33" s="40"/>
      <c r="G33" s="39"/>
      <c r="H33" s="37" t="s">
        <v>66</v>
      </c>
      <c r="I33" s="38">
        <f>I31*1.035</f>
        <v>0</v>
      </c>
    </row>
    <row r="34" spans="2:9">
      <c r="B34" s="39"/>
      <c r="C34" s="39"/>
      <c r="D34" s="39"/>
      <c r="E34" s="39"/>
      <c r="F34" s="39"/>
      <c r="G34" s="39"/>
      <c r="H34" s="36" t="s">
        <v>68</v>
      </c>
      <c r="I34" s="41" t="s">
        <v>69</v>
      </c>
    </row>
    <row r="35" spans="2:9">
      <c r="B35" s="36"/>
      <c r="C35" s="36"/>
      <c r="D35" s="36"/>
      <c r="E35" s="36"/>
      <c r="F35" s="42"/>
      <c r="G35" s="43"/>
      <c r="H35" s="44"/>
      <c r="I35" s="41"/>
    </row>
    <row r="36" spans="2:9">
      <c r="B36" s="36"/>
      <c r="C36" s="36"/>
      <c r="D36" s="36"/>
      <c r="E36" s="36"/>
      <c r="F36" s="45"/>
      <c r="G36" s="43"/>
      <c r="H36" s="44"/>
      <c r="I36" s="41"/>
    </row>
    <row r="37" ht="63" customHeight="1" spans="2:9">
      <c r="B37" s="46" t="s">
        <v>70</v>
      </c>
      <c r="C37" s="46"/>
      <c r="D37" s="46"/>
      <c r="E37" s="46"/>
      <c r="F37" s="46"/>
      <c r="G37" s="46"/>
      <c r="H37" s="46"/>
      <c r="I37" s="46"/>
    </row>
    <row r="38" s="1" customFormat="1" ht="19.5" customHeight="1" spans="2:9">
      <c r="B38" s="32" t="s">
        <v>71</v>
      </c>
      <c r="C38" s="32"/>
      <c r="D38" s="32"/>
      <c r="E38" s="32"/>
      <c r="F38" s="32"/>
      <c r="G38" s="32"/>
      <c r="H38" s="32"/>
      <c r="I38" s="32"/>
    </row>
    <row r="39" s="1" customFormat="1" ht="19.5" customHeight="1" spans="2:9">
      <c r="B39" s="47" t="s">
        <v>72</v>
      </c>
      <c r="C39" s="48" t="s">
        <v>73</v>
      </c>
      <c r="D39" s="49"/>
      <c r="E39" s="49"/>
      <c r="F39" s="49"/>
      <c r="G39" s="49"/>
      <c r="H39" s="49"/>
      <c r="I39" s="49"/>
    </row>
    <row r="40" s="1" customFormat="1" ht="19.5" customHeight="1" spans="2:9">
      <c r="B40" s="47" t="s">
        <v>74</v>
      </c>
      <c r="C40" s="48" t="s">
        <v>75</v>
      </c>
      <c r="D40" s="49"/>
      <c r="E40" s="49"/>
      <c r="F40" s="49"/>
      <c r="G40" s="49"/>
      <c r="H40" s="49"/>
      <c r="I40" s="49"/>
    </row>
    <row r="41" s="1" customFormat="1" ht="21" customHeight="1" spans="2:9">
      <c r="B41" s="47" t="s">
        <v>5</v>
      </c>
      <c r="C41" s="50" t="s">
        <v>76</v>
      </c>
      <c r="D41" s="51"/>
      <c r="E41" s="51"/>
      <c r="F41" s="51"/>
      <c r="G41" s="51"/>
      <c r="H41" s="51"/>
      <c r="I41" s="49"/>
    </row>
    <row r="42" s="1" customFormat="1" ht="19.5" customHeight="1" spans="2:9">
      <c r="B42" s="47" t="s">
        <v>77</v>
      </c>
      <c r="C42" s="48">
        <v>8003349563</v>
      </c>
      <c r="D42" s="49"/>
      <c r="E42" s="49"/>
      <c r="F42" s="49"/>
      <c r="G42" s="49"/>
      <c r="H42" s="49"/>
      <c r="I42" s="49"/>
    </row>
    <row r="43" s="1" customFormat="1" ht="19.5" customHeight="1" spans="2:9">
      <c r="B43" s="52" t="s">
        <v>78</v>
      </c>
      <c r="C43" s="49"/>
      <c r="D43" s="49"/>
      <c r="E43" s="49"/>
      <c r="F43" s="49"/>
      <c r="G43" s="49"/>
      <c r="H43" s="49"/>
      <c r="I43" s="49"/>
    </row>
    <row r="44" s="1" customFormat="1" ht="19.5" customHeight="1" spans="2:9">
      <c r="B44" s="52" t="s">
        <v>79</v>
      </c>
      <c r="C44" s="49"/>
      <c r="D44" s="49"/>
      <c r="E44" s="49"/>
      <c r="F44" s="49"/>
      <c r="G44" s="49"/>
      <c r="H44" s="49"/>
      <c r="I44" s="49"/>
    </row>
    <row r="45" s="1" customFormat="1" ht="31" customHeight="1" spans="2:9">
      <c r="B45" s="53" t="s">
        <v>80</v>
      </c>
      <c r="C45" s="53"/>
      <c r="D45" s="53"/>
      <c r="E45" s="53"/>
      <c r="F45" s="53"/>
      <c r="G45" s="53"/>
      <c r="H45" s="53"/>
      <c r="I45" s="53"/>
    </row>
    <row r="46" s="1" customFormat="1" ht="19.5" customHeight="1" spans="2:9">
      <c r="B46" s="54"/>
      <c r="C46" s="55"/>
      <c r="D46" s="55"/>
      <c r="E46" s="55"/>
      <c r="F46" s="55"/>
      <c r="G46" s="55"/>
      <c r="H46" s="55"/>
      <c r="I46" s="56">
        <f>I31</f>
        <v>0</v>
      </c>
    </row>
    <row r="47" s="1" customFormat="1" ht="19.5" customHeight="1" spans="2:9">
      <c r="B47" s="32" t="s">
        <v>81</v>
      </c>
      <c r="C47" s="32"/>
      <c r="D47" s="32"/>
      <c r="E47" s="32"/>
      <c r="F47" s="32"/>
      <c r="G47" s="32"/>
      <c r="H47" s="32"/>
      <c r="I47" s="32"/>
    </row>
    <row r="48" s="1" customFormat="1" ht="19.5" customHeight="1" spans="2:9">
      <c r="B48" s="57" t="s">
        <v>82</v>
      </c>
      <c r="C48" s="55"/>
      <c r="D48" s="55"/>
      <c r="E48" s="55"/>
      <c r="F48" s="55"/>
      <c r="G48" s="55"/>
      <c r="H48" s="55"/>
      <c r="I48" s="55"/>
    </row>
    <row r="49" s="1" customFormat="1" ht="19.5" customHeight="1" spans="2:9">
      <c r="B49" s="57" t="s">
        <v>83</v>
      </c>
      <c r="C49" s="57"/>
      <c r="D49" s="57"/>
      <c r="E49" s="57"/>
      <c r="F49" s="57"/>
      <c r="G49" s="57"/>
      <c r="H49" s="57"/>
      <c r="I49" s="57"/>
    </row>
    <row r="50" s="1" customFormat="1" ht="19.5" customHeight="1" spans="2:9">
      <c r="B50" s="57" t="s">
        <v>84</v>
      </c>
      <c r="C50" s="55"/>
      <c r="D50" s="55"/>
      <c r="E50" s="55"/>
      <c r="F50" s="55"/>
      <c r="G50" s="55"/>
      <c r="H50" s="55"/>
      <c r="I50" s="55"/>
    </row>
    <row r="51" s="1" customFormat="1" ht="19.5" customHeight="1" spans="2:9">
      <c r="B51" s="57" t="s">
        <v>85</v>
      </c>
      <c r="C51" s="55"/>
      <c r="D51" s="55"/>
      <c r="E51" s="55"/>
      <c r="F51" s="55"/>
      <c r="G51" s="55"/>
      <c r="H51" s="55"/>
      <c r="I51" s="55"/>
    </row>
    <row r="52" s="1" customFormat="1" ht="19.25" customHeight="1" spans="2:9">
      <c r="B52" s="57" t="s">
        <v>86</v>
      </c>
      <c r="C52" s="55"/>
      <c r="D52" s="55"/>
      <c r="E52" s="55"/>
      <c r="F52" s="55"/>
      <c r="G52" s="55"/>
      <c r="H52" s="55"/>
      <c r="I52" s="55"/>
    </row>
    <row r="53" s="1" customFormat="1" ht="19.5" customHeight="1" spans="2:9">
      <c r="B53" s="57" t="s">
        <v>87</v>
      </c>
      <c r="C53" s="55"/>
      <c r="D53" s="55"/>
      <c r="E53" s="55"/>
      <c r="F53" s="55"/>
      <c r="G53" s="55"/>
      <c r="H53" s="55"/>
      <c r="I53" s="55"/>
    </row>
    <row r="54" s="1" customFormat="1" ht="19.5" customHeight="1" spans="2:9">
      <c r="B54" s="58" t="s">
        <v>88</v>
      </c>
      <c r="C54" s="55"/>
      <c r="D54" s="55"/>
      <c r="E54" s="55"/>
      <c r="F54" s="55"/>
      <c r="G54" s="55"/>
      <c r="H54" s="55"/>
      <c r="I54" s="56">
        <f>I31</f>
        <v>0</v>
      </c>
    </row>
    <row r="55" s="1" customFormat="1" ht="19.5" customHeight="1" spans="2:9">
      <c r="B55" s="32" t="s">
        <v>89</v>
      </c>
      <c r="C55" s="32"/>
      <c r="D55" s="32"/>
      <c r="E55" s="32"/>
      <c r="F55" s="32"/>
      <c r="G55" s="32"/>
      <c r="H55" s="32"/>
      <c r="I55" s="32"/>
    </row>
    <row r="56" ht="26" customHeight="1" spans="2:9">
      <c r="B56" s="59" t="s">
        <v>90</v>
      </c>
      <c r="C56" s="59"/>
      <c r="D56" s="59"/>
      <c r="E56" s="59"/>
      <c r="F56" s="59"/>
      <c r="G56" s="59"/>
      <c r="H56" s="59"/>
      <c r="I56" s="59"/>
    </row>
    <row r="57" ht="19.5" customHeight="1" spans="2:9">
      <c r="B57" s="59" t="s">
        <v>91</v>
      </c>
      <c r="C57" s="59"/>
      <c r="D57" s="59"/>
      <c r="E57" s="59"/>
      <c r="F57" s="59"/>
      <c r="G57" s="59"/>
      <c r="H57" s="59"/>
      <c r="I57" s="59"/>
    </row>
    <row r="58" spans="2:9">
      <c r="B58" s="60"/>
      <c r="C58" s="28"/>
      <c r="D58" s="28"/>
      <c r="E58" s="28"/>
      <c r="F58" s="28"/>
      <c r="G58" s="28"/>
      <c r="H58" s="28"/>
      <c r="I58" s="61">
        <f>I33</f>
        <v>0</v>
      </c>
    </row>
    <row r="59" spans="2:9">
      <c r="B59" s="28"/>
      <c r="C59" s="28"/>
      <c r="D59" s="28"/>
      <c r="E59" s="28"/>
      <c r="F59" s="28"/>
      <c r="G59" s="28"/>
      <c r="H59" s="62" t="s">
        <v>92</v>
      </c>
      <c r="I59" s="62"/>
    </row>
  </sheetData>
  <mergeCells count="31">
    <mergeCell ref="H8:I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B27:F27"/>
    <mergeCell ref="B28:F28"/>
    <mergeCell ref="B29:F29"/>
    <mergeCell ref="B30:F30"/>
    <mergeCell ref="B37:I37"/>
    <mergeCell ref="B45:I45"/>
    <mergeCell ref="H59:I59"/>
    <mergeCell ref="D2:I3"/>
  </mergeCells>
  <hyperlinks>
    <hyperlink ref="C7" r:id="rId2" display="Edward@logopressinc.com"/>
  </hyperlinks>
  <printOptions horizontalCentered="1"/>
  <pageMargins left="0.25" right="0.25" top="0.75" bottom="0.75" header="0.298611111111111" footer="0.298611111111111"/>
  <pageSetup paperSize="9" scale="80" fitToHeight="0" orientation="portrait"/>
  <headerFooter/>
  <rowBreaks count="1" manualBreakCount="1">
    <brk id="36" max="9" man="1"/>
  </rowBreaks>
  <ignoredErrors>
    <ignoredError sqref="I9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lee</dc:creator>
  <cp:lastModifiedBy>陈鹏° Vincent Chen</cp:lastModifiedBy>
  <dcterms:created xsi:type="dcterms:W3CDTF">2024-09-10T23:52:00Z</dcterms:created>
  <cp:lastPrinted>2024-11-10T00:56:00Z</cp:lastPrinted>
  <dcterms:modified xsi:type="dcterms:W3CDTF">2026-04-29T23:57:07Z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2786F6D7EC304EEDB64AE269E9223505_43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