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40" activeTab="2"/>
  </bookViews>
  <sheets>
    <sheet name="报价表" sheetId="2" r:id="rId1"/>
    <sheet name="上海UPS小货" sheetId="3" r:id="rId2"/>
    <sheet name="空派小货（普货）" sheetId="4" r:id="rId3"/>
    <sheet name="单位换算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<sst xmlns="http://schemas.openxmlformats.org/spreadsheetml/2006/main" count="108" uniqueCount="101">
  <si>
    <t>需求</t>
  </si>
  <si>
    <t>产品编号</t>
  </si>
  <si>
    <t>产品名称</t>
  </si>
  <si>
    <t>几色印刷</t>
  </si>
  <si>
    <r>
      <rPr>
        <sz val="10"/>
        <color rgb="FF262626"/>
        <rFont val="等线"/>
        <charset val="134"/>
      </rPr>
      <t>几个</t>
    </r>
    <r>
      <rPr>
        <sz val="10"/>
        <color rgb="FF262626"/>
        <rFont val="Arial Regular"/>
        <charset val="134"/>
      </rPr>
      <t>logo</t>
    </r>
  </si>
  <si>
    <t>SETUP FEE</t>
  </si>
  <si>
    <t>@Product_Number</t>
  </si>
  <si>
    <t>@Product_Name</t>
  </si>
  <si>
    <r>
      <rPr>
        <sz val="10"/>
        <color rgb="FF262626"/>
        <rFont val="等线"/>
        <charset val="134"/>
      </rPr>
      <t>客户需求量</t>
    </r>
    <r>
      <rPr>
        <sz val="10"/>
        <color rgb="FF262626"/>
        <rFont val="Arial Regular"/>
        <charset val="134"/>
      </rPr>
      <t>1</t>
    </r>
  </si>
  <si>
    <r>
      <rPr>
        <sz val="10"/>
        <color rgb="FF262626"/>
        <rFont val="等线"/>
        <charset val="134"/>
      </rPr>
      <t>客户需求量</t>
    </r>
    <r>
      <rPr>
        <sz val="10"/>
        <color rgb="FF262626"/>
        <rFont val="Arial Regular"/>
        <charset val="134"/>
      </rPr>
      <t>2</t>
    </r>
  </si>
  <si>
    <r>
      <rPr>
        <sz val="10"/>
        <color rgb="FF262626"/>
        <rFont val="等线"/>
        <charset val="134"/>
      </rPr>
      <t>客户需求量</t>
    </r>
    <r>
      <rPr>
        <sz val="10"/>
        <color rgb="FF262626"/>
        <rFont val="Arial Regular"/>
        <charset val="134"/>
      </rPr>
      <t>3</t>
    </r>
  </si>
  <si>
    <r>
      <rPr>
        <sz val="10"/>
        <color rgb="FF262626"/>
        <rFont val="等线"/>
        <charset val="134"/>
      </rPr>
      <t>客户需求量</t>
    </r>
    <r>
      <rPr>
        <sz val="10"/>
        <color rgb="FF262626"/>
        <rFont val="Arial Regular"/>
        <charset val="134"/>
      </rPr>
      <t>4</t>
    </r>
  </si>
  <si>
    <r>
      <rPr>
        <sz val="10"/>
        <color rgb="FF262626"/>
        <rFont val="等线"/>
        <charset val="134"/>
      </rPr>
      <t>客户需求量</t>
    </r>
    <r>
      <rPr>
        <sz val="10"/>
        <color rgb="FF262626"/>
        <rFont val="Arial Regular"/>
        <charset val="134"/>
      </rPr>
      <t>5</t>
    </r>
  </si>
  <si>
    <r>
      <rPr>
        <sz val="10"/>
        <color rgb="FF262626"/>
        <rFont val="等线"/>
        <charset val="134"/>
      </rPr>
      <t>客户报价</t>
    </r>
    <r>
      <rPr>
        <sz val="10"/>
        <color rgb="FF262626"/>
        <rFont val="Arial Regular"/>
        <charset val="134"/>
      </rPr>
      <t>1</t>
    </r>
  </si>
  <si>
    <r>
      <rPr>
        <sz val="10"/>
        <color rgb="FF262626"/>
        <rFont val="等线"/>
        <charset val="134"/>
      </rPr>
      <t>客户报价</t>
    </r>
    <r>
      <rPr>
        <sz val="10"/>
        <color rgb="FF262626"/>
        <rFont val="Arial Regular"/>
        <charset val="134"/>
      </rPr>
      <t>2</t>
    </r>
  </si>
  <si>
    <r>
      <rPr>
        <sz val="10"/>
        <color rgb="FF262626"/>
        <rFont val="等线"/>
        <charset val="134"/>
      </rPr>
      <t>客户报价</t>
    </r>
    <r>
      <rPr>
        <sz val="10"/>
        <color rgb="FF262626"/>
        <rFont val="Arial Regular"/>
        <charset val="134"/>
      </rPr>
      <t>3</t>
    </r>
  </si>
  <si>
    <r>
      <rPr>
        <sz val="10"/>
        <color rgb="FF262626"/>
        <rFont val="等线"/>
        <charset val="134"/>
      </rPr>
      <t>客户报价</t>
    </r>
    <r>
      <rPr>
        <sz val="10"/>
        <color rgb="FF262626"/>
        <rFont val="Arial Regular"/>
        <charset val="134"/>
      </rPr>
      <t>4</t>
    </r>
  </si>
  <si>
    <r>
      <rPr>
        <sz val="10"/>
        <color rgb="FF262626"/>
        <rFont val="等线"/>
        <charset val="134"/>
      </rPr>
      <t>客户报价</t>
    </r>
    <r>
      <rPr>
        <sz val="10"/>
        <color rgb="FF262626"/>
        <rFont val="Arial Regular"/>
        <charset val="134"/>
      </rPr>
      <t>5</t>
    </r>
  </si>
  <si>
    <t>产品</t>
  </si>
  <si>
    <r>
      <rPr>
        <sz val="10"/>
        <color rgb="FF262626"/>
        <rFont val="等线"/>
        <charset val="134"/>
      </rPr>
      <t>长</t>
    </r>
    <r>
      <rPr>
        <sz val="10"/>
        <color rgb="FF262626"/>
        <rFont val="Arial Regular"/>
        <charset val="134"/>
      </rPr>
      <t>(cm)</t>
    </r>
  </si>
  <si>
    <r>
      <rPr>
        <sz val="10"/>
        <color rgb="FF262626"/>
        <rFont val="等线"/>
        <charset val="134"/>
      </rPr>
      <t>宽</t>
    </r>
    <r>
      <rPr>
        <sz val="10"/>
        <color rgb="FF262626"/>
        <rFont val="Arial Regular"/>
        <charset val="134"/>
      </rPr>
      <t>(cm)</t>
    </r>
  </si>
  <si>
    <r>
      <rPr>
        <sz val="10"/>
        <color rgb="FF262626"/>
        <rFont val="等线"/>
        <charset val="134"/>
      </rPr>
      <t>高</t>
    </r>
    <r>
      <rPr>
        <sz val="10"/>
        <color rgb="FF262626"/>
        <rFont val="Arial Regular"/>
        <charset val="134"/>
      </rPr>
      <t>(cm)</t>
    </r>
  </si>
  <si>
    <t>公斤</t>
  </si>
  <si>
    <r>
      <rPr>
        <sz val="10"/>
        <color rgb="FF262626"/>
        <rFont val="等线"/>
        <charset val="134"/>
      </rPr>
      <t>件数</t>
    </r>
    <r>
      <rPr>
        <sz val="10"/>
        <color rgb="FF262626"/>
        <rFont val="Arial Regular"/>
        <charset val="134"/>
      </rPr>
      <t>/</t>
    </r>
    <r>
      <rPr>
        <sz val="10"/>
        <color rgb="FF262626"/>
        <rFont val="等线"/>
        <charset val="134"/>
      </rPr>
      <t>箱</t>
    </r>
  </si>
  <si>
    <t>单位重量</t>
  </si>
  <si>
    <t>单位体积</t>
  </si>
  <si>
    <r>
      <rPr>
        <sz val="12"/>
        <color rgb="FF000000"/>
        <rFont val="Arial Regular"/>
        <charset val="134"/>
      </rPr>
      <t>@</t>
    </r>
    <r>
      <rPr>
        <sz val="12"/>
        <color rgb="FF000000"/>
        <rFont val="等线"/>
        <charset val="134"/>
      </rPr>
      <t>箱子尺寸</t>
    </r>
    <r>
      <rPr>
        <sz val="12"/>
        <color rgb="FF000000"/>
        <rFont val="Arial Regular"/>
        <charset val="134"/>
      </rPr>
      <t xml:space="preserve"> </t>
    </r>
    <r>
      <rPr>
        <sz val="12"/>
        <color rgb="FF000000"/>
        <rFont val="等线"/>
        <charset val="134"/>
      </rPr>
      <t>长</t>
    </r>
    <r>
      <rPr>
        <sz val="12"/>
        <color rgb="FF000000"/>
        <rFont val="Arial Regular"/>
        <charset val="134"/>
      </rPr>
      <t>(cm)</t>
    </r>
  </si>
  <si>
    <r>
      <rPr>
        <sz val="12"/>
        <color rgb="FF000000"/>
        <rFont val="Arial Regular"/>
        <charset val="134"/>
      </rPr>
      <t>@</t>
    </r>
    <r>
      <rPr>
        <sz val="12"/>
        <color rgb="FF000000"/>
        <rFont val="等线"/>
        <charset val="134"/>
      </rPr>
      <t>箱子尺寸</t>
    </r>
    <r>
      <rPr>
        <sz val="12"/>
        <color rgb="FF000000"/>
        <rFont val="Arial Regular"/>
        <charset val="134"/>
      </rPr>
      <t xml:space="preserve"> </t>
    </r>
    <r>
      <rPr>
        <sz val="12"/>
        <color rgb="FF000000"/>
        <rFont val="等线"/>
        <charset val="134"/>
      </rPr>
      <t>宽</t>
    </r>
    <r>
      <rPr>
        <sz val="12"/>
        <color rgb="FF000000"/>
        <rFont val="Arial Regular"/>
        <charset val="134"/>
      </rPr>
      <t>(cm)</t>
    </r>
  </si>
  <si>
    <r>
      <rPr>
        <sz val="12"/>
        <color rgb="FF000000"/>
        <rFont val="Arial Regular"/>
        <charset val="134"/>
      </rPr>
      <t>@</t>
    </r>
    <r>
      <rPr>
        <sz val="12"/>
        <color rgb="FF000000"/>
        <rFont val="等线"/>
        <charset val="134"/>
      </rPr>
      <t>箱子尺寸</t>
    </r>
    <r>
      <rPr>
        <sz val="12"/>
        <color rgb="FF000000"/>
        <rFont val="Arial Regular"/>
        <charset val="134"/>
      </rPr>
      <t xml:space="preserve"> </t>
    </r>
    <r>
      <rPr>
        <sz val="12"/>
        <color rgb="FF000000"/>
        <rFont val="等线"/>
        <charset val="134"/>
      </rPr>
      <t>高</t>
    </r>
    <r>
      <rPr>
        <sz val="12"/>
        <color rgb="FF000000"/>
        <rFont val="Arial Regular"/>
        <charset val="134"/>
      </rPr>
      <t>(cm)</t>
    </r>
  </si>
  <si>
    <r>
      <rPr>
        <sz val="12"/>
        <color rgb="FF000000"/>
        <rFont val="Arial Regular"/>
        <charset val="134"/>
      </rPr>
      <t>@</t>
    </r>
    <r>
      <rPr>
        <sz val="12"/>
        <color rgb="FF000000"/>
        <rFont val="等线"/>
        <charset val="134"/>
      </rPr>
      <t>重量</t>
    </r>
    <r>
      <rPr>
        <sz val="12"/>
        <color rgb="FF000000"/>
        <rFont val="Arial Regular"/>
        <charset val="134"/>
      </rPr>
      <t>(</t>
    </r>
    <r>
      <rPr>
        <sz val="12"/>
        <color rgb="FF000000"/>
        <rFont val="等线"/>
        <charset val="134"/>
      </rPr>
      <t>箱子</t>
    </r>
    <r>
      <rPr>
        <sz val="12"/>
        <color rgb="FF000000"/>
        <rFont val="Arial Regular"/>
        <charset val="134"/>
      </rPr>
      <t>+</t>
    </r>
    <r>
      <rPr>
        <sz val="12"/>
        <color rgb="FF000000"/>
        <rFont val="等线"/>
        <charset val="134"/>
      </rPr>
      <t>产品</t>
    </r>
    <r>
      <rPr>
        <sz val="12"/>
        <color rgb="FF000000"/>
        <rFont val="Arial Regular"/>
        <charset val="134"/>
      </rPr>
      <t>)</t>
    </r>
    <r>
      <rPr>
        <sz val="12"/>
        <color rgb="FF000000"/>
        <rFont val="等线"/>
        <charset val="134"/>
      </rPr>
      <t>公斤</t>
    </r>
  </si>
  <si>
    <r>
      <rPr>
        <sz val="12"/>
        <color rgb="FF000000"/>
        <rFont val="Arial Regular"/>
        <charset val="134"/>
      </rPr>
      <t>@</t>
    </r>
    <r>
      <rPr>
        <sz val="12"/>
        <color rgb="FF000000"/>
        <rFont val="等线"/>
        <charset val="134"/>
      </rPr>
      <t>件数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箱</t>
    </r>
  </si>
  <si>
    <t>采购</t>
  </si>
  <si>
    <r>
      <rPr>
        <sz val="10"/>
        <color rgb="FF262626"/>
        <rFont val="等线"/>
        <charset val="134"/>
      </rPr>
      <t>产品采购单价</t>
    </r>
    <r>
      <rPr>
        <sz val="10"/>
        <color rgb="FF262626"/>
        <rFont val="Arial Regular"/>
        <charset val="134"/>
      </rPr>
      <t>¥</t>
    </r>
  </si>
  <si>
    <t>其他固定费用</t>
  </si>
  <si>
    <t>运费膨胀系数</t>
  </si>
  <si>
    <t>汇率</t>
  </si>
  <si>
    <t>目标利润率</t>
  </si>
  <si>
    <r>
      <rPr>
        <sz val="12"/>
        <color rgb="FF000000"/>
        <rFont val="Arial Regular"/>
        <charset val="134"/>
      </rPr>
      <t>@1688</t>
    </r>
    <r>
      <rPr>
        <sz val="12"/>
        <color rgb="FF000000"/>
        <rFont val="等线"/>
        <charset val="134"/>
      </rPr>
      <t>价</t>
    </r>
    <r>
      <rPr>
        <sz val="12"/>
        <color rgb="FF000000"/>
        <rFont val="Arial Regular"/>
        <charset val="134"/>
      </rPr>
      <t>(</t>
    </r>
    <r>
      <rPr>
        <sz val="12"/>
        <color rgb="FF000000"/>
        <rFont val="等线"/>
        <charset val="134"/>
      </rPr>
      <t>元</t>
    </r>
    <r>
      <rPr>
        <sz val="12"/>
        <color rgb="FF000000"/>
        <rFont val="Arial Regular"/>
        <charset val="134"/>
      </rPr>
      <t>)</t>
    </r>
  </si>
  <si>
    <t>核价</t>
  </si>
  <si>
    <t>快递</t>
  </si>
  <si>
    <t>空派</t>
  </si>
  <si>
    <t>海运</t>
  </si>
  <si>
    <t>报价模板</t>
  </si>
  <si>
    <t>物流单价</t>
  </si>
  <si>
    <t>Express</t>
  </si>
  <si>
    <t>Air</t>
  </si>
  <si>
    <t>Ocean</t>
  </si>
  <si>
    <t>体积重比值</t>
  </si>
  <si>
    <t>是否显示该运输方式</t>
  </si>
  <si>
    <t>控制下方报价是否会显示该运输方式</t>
  </si>
  <si>
    <t>关税率</t>
  </si>
  <si>
    <t>Product Name:</t>
  </si>
  <si>
    <t>单位体积重</t>
  </si>
  <si>
    <t>Quantities:</t>
  </si>
  <si>
    <t>单位计费重</t>
  </si>
  <si>
    <t>Net Price:</t>
  </si>
  <si>
    <t>体重倍数</t>
  </si>
  <si>
    <t>Set Up Fee:</t>
  </si>
  <si>
    <t>计费重量</t>
  </si>
  <si>
    <t>Production Time:</t>
  </si>
  <si>
    <t>8-10 days after receipt of payment and Mockup approval</t>
  </si>
  <si>
    <t>运费成本</t>
  </si>
  <si>
    <t>单位总成本</t>
  </si>
  <si>
    <t>参考运费</t>
  </si>
  <si>
    <t>实际运费</t>
  </si>
  <si>
    <t>运费占比</t>
  </si>
  <si>
    <t>总报价</t>
  </si>
  <si>
    <r>
      <rPr>
        <sz val="10"/>
        <color rgb="FF262626"/>
        <rFont val="等线"/>
        <charset val="134"/>
      </rPr>
      <t>毛利</t>
    </r>
    <r>
      <rPr>
        <sz val="10"/>
        <color rgb="FF262626"/>
        <rFont val="Arial Regular"/>
        <charset val="134"/>
      </rPr>
      <t>1</t>
    </r>
  </si>
  <si>
    <r>
      <rPr>
        <sz val="10"/>
        <color rgb="FF262626"/>
        <rFont val="等线"/>
        <charset val="134"/>
      </rPr>
      <t>毛利率</t>
    </r>
    <r>
      <rPr>
        <sz val="10"/>
        <color rgb="FF262626"/>
        <rFont val="Arial Regular"/>
        <charset val="134"/>
      </rPr>
      <t>1</t>
    </r>
  </si>
  <si>
    <r>
      <rPr>
        <sz val="10"/>
        <color rgb="FF262626"/>
        <rFont val="等线"/>
        <charset val="134"/>
      </rPr>
      <t>毛利率</t>
    </r>
    <r>
      <rPr>
        <sz val="10"/>
        <color rgb="FF262626"/>
        <rFont val="Arial Regular"/>
        <charset val="134"/>
      </rPr>
      <t>2</t>
    </r>
  </si>
  <si>
    <r>
      <rPr>
        <sz val="10"/>
        <color rgb="FF262626"/>
        <rFont val="等线"/>
        <charset val="134"/>
      </rPr>
      <t>毛利率</t>
    </r>
    <r>
      <rPr>
        <sz val="10"/>
        <color rgb="FF262626"/>
        <rFont val="Arial Regular"/>
        <charset val="134"/>
      </rPr>
      <t>3</t>
    </r>
  </si>
  <si>
    <r>
      <rPr>
        <sz val="10"/>
        <color rgb="FF262626"/>
        <rFont val="等线"/>
        <charset val="134"/>
      </rPr>
      <t>毛利率</t>
    </r>
    <r>
      <rPr>
        <sz val="10"/>
        <color rgb="FF262626"/>
        <rFont val="Arial Regular"/>
        <charset val="134"/>
      </rPr>
      <t>4</t>
    </r>
  </si>
  <si>
    <r>
      <rPr>
        <sz val="10"/>
        <color rgb="FF262626"/>
        <rFont val="等线"/>
        <charset val="134"/>
      </rPr>
      <t>毛利率</t>
    </r>
    <r>
      <rPr>
        <sz val="10"/>
        <color rgb="FF262626"/>
        <rFont val="Arial Regular"/>
        <charset val="134"/>
      </rPr>
      <t>5</t>
    </r>
  </si>
  <si>
    <t>体重倍数：
红色 - 严重抛货
黄色 - 抛货
绿色 - 非抛货</t>
  </si>
  <si>
    <t>参考运费：
根据目标利润率公式计算得到的参考运费</t>
  </si>
  <si>
    <t>实际运费：
实际给客户报给的运费，毛利以实际运费来计算</t>
  </si>
  <si>
    <t>黄色区域：
为可以填写的区域</t>
  </si>
  <si>
    <t>运费膨胀系数：
运费额外乘以的系数，避免货代公司装箱时会有重量体积膨胀，若有运费折扣时也可以方便计算折扣</t>
  </si>
  <si>
    <t>其他固定费用：
例如开模费/打木架费等不根据商品数量变动而变化的固定成本</t>
  </si>
  <si>
    <t>小货：
客户需求量下方的计费重量如果低于15kg（会亮黄色指示箭头）则为小货，注意快递和空派的运费单价需手动调整</t>
  </si>
  <si>
    <t>上海UPS小货价格（US）（3-5）左右签收</t>
  </si>
  <si>
    <t>国家</t>
  </si>
  <si>
    <t>运费单价</t>
  </si>
  <si>
    <t>深圳市中技物流义乌分公司</t>
  </si>
  <si>
    <t>体积除以6000计抛，免私人地址费，免产品杂费，此渠道只接受一票一件货物</t>
  </si>
  <si>
    <t>起飞后2-3天提取，提取后2-5天UPS派送 时效10-15</t>
  </si>
  <si>
    <t>重量KG</t>
  </si>
  <si>
    <t>（空派小货）普货单价</t>
  </si>
  <si>
    <t>注意事项：</t>
  </si>
  <si>
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</si>
  <si>
    <t>长 英寸</t>
  </si>
  <si>
    <t>宽 英寸</t>
  </si>
  <si>
    <t>高 英寸</t>
  </si>
  <si>
    <t>长 cm</t>
  </si>
  <si>
    <t>宽 cm</t>
  </si>
  <si>
    <t>高 cm</t>
  </si>
  <si>
    <t>长cm</t>
  </si>
  <si>
    <t>宽cm</t>
  </si>
  <si>
    <t>高cm</t>
  </si>
  <si>
    <t>体积重</t>
  </si>
  <si>
    <t>磅 lbs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</si>
</sst>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General&quot; kg&quot;"/>
    <numFmt numFmtId="179" formatCode="General&quot; g&quot;"/>
    <numFmt numFmtId="180" formatCode="General&quot; cm³&quot;"/>
    <numFmt numFmtId="181" formatCode="_([$$-409]* #,##0.00_);_([$$-409]* \(#,##0.00\);_([$$-409]* &quot;-&quot;??_);_(@_)"/>
    <numFmt numFmtId="182" formatCode="_(&quot;$&quot;* #,##0.00_);_(&quot;$&quot;* \(#,##0.00\);_(&quot;$&quot;* &quot;-&quot;??_);_(@_)"/>
  </numFmts>
  <fonts count="48">
    <font>
      <sz val="10"/>
      <color theme="1"/>
      <name val="等线"/>
      <charset val="134"/>
      <scheme val="minor"/>
    </font>
    <font>
      <sz val="12"/>
      <color rgb="FF000000"/>
      <name val="等线"/>
      <charset val="134"/>
    </font>
    <font>
      <sz val="14"/>
      <color rgb="FF000000"/>
      <name val="Helvetica Neue"/>
      <charset val="134"/>
    </font>
    <font>
      <b/>
      <sz val="12"/>
      <color rgb="FF000000"/>
      <name val="等线"/>
      <charset val="134"/>
    </font>
    <font>
      <b/>
      <sz val="28"/>
      <color rgb="FF000000"/>
      <name val="微软雅黑"/>
      <charset val="134"/>
    </font>
    <font>
      <b/>
      <sz val="20"/>
      <color rgb="FFFF0000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华文中宋"/>
      <charset val="134"/>
    </font>
    <font>
      <b/>
      <sz val="12"/>
      <color theme="1"/>
      <name val="华文中宋"/>
      <charset val="134"/>
    </font>
    <font>
      <b/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sz val="24"/>
      <color rgb="FFFFFFFF"/>
      <name val="黑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0"/>
      <color theme="1"/>
      <name val="Arial Regular"/>
      <charset val="134"/>
    </font>
    <font>
      <sz val="10"/>
      <color rgb="FF262626"/>
      <name val="等线"/>
      <charset val="134"/>
    </font>
    <font>
      <sz val="10"/>
      <color rgb="FF262626"/>
      <name val="Arial Regular"/>
      <charset val="134"/>
    </font>
    <font>
      <sz val="12"/>
      <color rgb="FF000000"/>
      <name val="Arial Regular"/>
      <charset val="134"/>
    </font>
    <font>
      <sz val="10"/>
      <color rgb="FF000000"/>
      <name val="Arial Unicode MS"/>
      <charset val="134"/>
    </font>
    <font>
      <sz val="10"/>
      <color rgb="FF000000"/>
      <name val="Arial Regular"/>
      <charset val="134"/>
    </font>
    <font>
      <sz val="10"/>
      <color rgb="FF262626"/>
      <name val="Arial Unicode MS"/>
      <charset val="134"/>
    </font>
    <font>
      <sz val="10"/>
      <color theme="1"/>
      <name val="等线"/>
      <charset val="134"/>
    </font>
    <font>
      <b/>
      <sz val="10"/>
      <color rgb="FF000000"/>
      <name val="Arial Regular"/>
      <charset val="134"/>
    </font>
    <font>
      <b/>
      <sz val="12"/>
      <color rgb="FFFF0000"/>
      <name val="Arial Regular"/>
      <charset val="134"/>
    </font>
    <font>
      <b/>
      <sz val="12"/>
      <color rgb="FF000000"/>
      <name val="Arial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8"/>
      <name val="MS Sans Serif"/>
      <charset val="134"/>
    </font>
  </fonts>
  <fills count="4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2" borderId="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3" borderId="11" applyNumberFormat="0" applyAlignment="0" applyProtection="0">
      <alignment vertical="center"/>
    </xf>
    <xf numFmtId="0" fontId="37" fillId="14" borderId="12" applyNumberFormat="0" applyAlignment="0" applyProtection="0">
      <alignment vertical="center"/>
    </xf>
    <xf numFmtId="0" fontId="38" fillId="14" borderId="11" applyNumberFormat="0" applyAlignment="0" applyProtection="0">
      <alignment vertical="center"/>
    </xf>
    <xf numFmtId="0" fontId="39" fillId="15" borderId="13" applyNumberFormat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7" fillId="0" borderId="0" applyBorder="0"/>
  </cellStyleXfs>
  <cellXfs count="74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NumberFormat="1" applyFont="1" applyFill="1" applyBorder="1" applyAlignment="1" applyProtection="1">
      <alignment horizontal="center" vertical="center" wrapText="1"/>
    </xf>
    <xf numFmtId="176" fontId="8" fillId="4" borderId="1" xfId="0" applyNumberFormat="1" applyFont="1" applyFill="1" applyBorder="1" applyAlignment="1" applyProtection="1">
      <alignment horizontal="center" vertical="center"/>
    </xf>
    <xf numFmtId="0" fontId="9" fillId="4" borderId="1" xfId="0" applyNumberFormat="1" applyFont="1" applyFill="1" applyBorder="1" applyAlignment="1" applyProtection="1">
      <alignment horizontal="center" vertical="center"/>
    </xf>
    <xf numFmtId="0" fontId="10" fillId="4" borderId="1" xfId="0" applyNumberFormat="1" applyFont="1" applyFill="1" applyBorder="1" applyAlignment="1" applyProtection="1">
      <alignment horizontal="center" vertical="center"/>
    </xf>
    <xf numFmtId="176" fontId="10" fillId="4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4" borderId="1" xfId="0" applyNumberFormat="1" applyFont="1" applyFill="1" applyBorder="1" applyAlignment="1" applyProtection="1">
      <alignment horizontal="center" vertical="top" wrapText="1"/>
    </xf>
    <xf numFmtId="0" fontId="11" fillId="4" borderId="1" xfId="0" applyNumberFormat="1" applyFont="1" applyFill="1" applyBorder="1" applyAlignment="1" applyProtection="1">
      <alignment horizontal="center" vertical="top" wrapText="1"/>
    </xf>
    <xf numFmtId="0" fontId="12" fillId="0" borderId="1" xfId="0" applyNumberFormat="1" applyFont="1" applyFill="1" applyBorder="1" applyAlignment="1" applyProtection="1">
      <alignment vertical="center"/>
    </xf>
    <xf numFmtId="177" fontId="13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7" fontId="14" fillId="5" borderId="1" xfId="0" applyNumberFormat="1" applyFont="1" applyFill="1" applyBorder="1" applyAlignment="1">
      <alignment horizontal="center" vertical="center" wrapText="1"/>
    </xf>
    <xf numFmtId="177" fontId="15" fillId="0" borderId="1" xfId="49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/>
    </xf>
    <xf numFmtId="0" fontId="17" fillId="0" borderId="0" xfId="0" applyFont="1" applyAlignment="1">
      <alignment vertical="center"/>
    </xf>
    <xf numFmtId="0" fontId="18" fillId="6" borderId="2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178" fontId="20" fillId="2" borderId="2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79" fontId="20" fillId="2" borderId="4" xfId="0" applyNumberFormat="1" applyFont="1" applyFill="1" applyBorder="1" applyAlignment="1">
      <alignment horizontal="center" vertical="center"/>
    </xf>
    <xf numFmtId="180" fontId="20" fillId="2" borderId="2" xfId="0" applyNumberFormat="1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9" fontId="20" fillId="7" borderId="5" xfId="3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9" fontId="20" fillId="2" borderId="2" xfId="0" applyNumberFormat="1" applyFont="1" applyFill="1" applyBorder="1" applyAlignment="1">
      <alignment horizontal="center" vertical="center"/>
    </xf>
    <xf numFmtId="9" fontId="20" fillId="2" borderId="6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178" fontId="20" fillId="2" borderId="6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horizontal="center" vertical="center"/>
    </xf>
    <xf numFmtId="181" fontId="20" fillId="2" borderId="2" xfId="0" applyNumberFormat="1" applyFont="1" applyFill="1" applyBorder="1" applyAlignment="1">
      <alignment horizontal="center" vertical="center"/>
    </xf>
    <xf numFmtId="181" fontId="20" fillId="2" borderId="6" xfId="0" applyNumberFormat="1" applyFont="1" applyFill="1" applyBorder="1" applyAlignment="1">
      <alignment horizontal="center" vertical="center"/>
    </xf>
    <xf numFmtId="181" fontId="20" fillId="7" borderId="2" xfId="0" applyNumberFormat="1" applyFont="1" applyFill="1" applyBorder="1" applyAlignment="1">
      <alignment horizontal="center" vertical="center"/>
    </xf>
    <xf numFmtId="181" fontId="20" fillId="7" borderId="6" xfId="0" applyNumberFormat="1" applyFont="1" applyFill="1" applyBorder="1" applyAlignment="1">
      <alignment horizontal="center" vertical="center"/>
    </xf>
    <xf numFmtId="26" fontId="27" fillId="0" borderId="1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182" fontId="20" fillId="2" borderId="2" xfId="0" applyNumberFormat="1" applyFont="1" applyFill="1" applyBorder="1" applyAlignment="1">
      <alignment horizontal="center" vertical="center"/>
    </xf>
    <xf numFmtId="182" fontId="20" fillId="2" borderId="6" xfId="0" applyNumberFormat="1" applyFont="1" applyFill="1" applyBorder="1" applyAlignment="1">
      <alignment horizontal="center" vertical="center"/>
    </xf>
    <xf numFmtId="10" fontId="20" fillId="11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7132"/>
    <outlinePr summaryBelow="0" summaryRight="0"/>
  </sheetPr>
  <dimension ref="A1:S202"/>
  <sheetViews>
    <sheetView topLeftCell="A10" workbookViewId="0">
      <selection activeCell="F21" sqref="F21"/>
    </sheetView>
  </sheetViews>
  <sheetFormatPr defaultColWidth="14" defaultRowHeight="15.2"/>
  <cols>
    <col min="1" max="4" width="18.6923076923077" style="25" customWidth="1"/>
    <col min="5" max="5" width="25.6442307692308" style="25" customWidth="1"/>
    <col min="6" max="10" width="18.6923076923077" style="25" customWidth="1"/>
    <col min="11" max="12" width="24" style="25" customWidth="1"/>
    <col min="13" max="13" width="20" style="25" customWidth="1"/>
    <col min="14" max="16" width="24" style="25" customWidth="1"/>
    <col min="17" max="20" width="14" style="25" customWidth="1"/>
    <col min="21" max="16384" width="14" style="25"/>
  </cols>
  <sheetData>
    <row r="1" ht="22" customHeight="1" spans="1:19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</row>
    <row r="2" ht="22" customHeight="1" spans="1:19">
      <c r="A2" s="29"/>
      <c r="B2" s="30" t="s">
        <v>6</v>
      </c>
      <c r="C2" s="30" t="s">
        <v>7</v>
      </c>
      <c r="D2" s="30">
        <v>1</v>
      </c>
      <c r="E2" s="30">
        <v>1</v>
      </c>
      <c r="F2" s="30">
        <f>IF(D2&gt;1,80,50)*E2</f>
        <v>50</v>
      </c>
    </row>
    <row r="3" ht="22" customHeight="1" spans="1:19">
      <c r="A3" s="29"/>
      <c r="B3" s="27" t="s">
        <v>8</v>
      </c>
      <c r="C3" s="27" t="s">
        <v>9</v>
      </c>
      <c r="D3" s="27" t="s">
        <v>10</v>
      </c>
      <c r="E3" s="27" t="s">
        <v>11</v>
      </c>
      <c r="F3" s="27" t="s">
        <v>12</v>
      </c>
    </row>
    <row r="4" ht="22" customHeight="1" spans="1:19">
      <c r="A4" s="29"/>
      <c r="B4" s="30"/>
      <c r="C4" s="30"/>
      <c r="D4" s="30"/>
      <c r="E4" s="30"/>
      <c r="F4" s="30"/>
    </row>
    <row r="5" ht="22" customHeight="1" spans="1:19">
      <c r="A5" s="29"/>
      <c r="B5" s="31">
        <f>$B$17*B4</f>
        <v>0</v>
      </c>
      <c r="C5" s="31">
        <f>$B$17*C4</f>
        <v>0</v>
      </c>
      <c r="D5" s="31">
        <f>$B$17*D4</f>
        <v>0</v>
      </c>
      <c r="E5" s="31">
        <f>$B$17*E4</f>
        <v>0</v>
      </c>
      <c r="F5" s="31">
        <f>$B$17*F4</f>
        <v>0</v>
      </c>
    </row>
    <row r="6" ht="22" customHeight="1" spans="1:19">
      <c r="A6" s="29"/>
      <c r="B6" s="27" t="s">
        <v>13</v>
      </c>
      <c r="C6" s="27" t="s">
        <v>14</v>
      </c>
      <c r="D6" s="27" t="s">
        <v>15</v>
      </c>
      <c r="E6" s="27" t="s">
        <v>16</v>
      </c>
      <c r="F6" s="27" t="s">
        <v>17</v>
      </c>
    </row>
    <row r="7" ht="22" customHeight="1" spans="1:19">
      <c r="A7" s="29"/>
      <c r="B7" s="32"/>
      <c r="C7" s="32"/>
      <c r="D7" s="32"/>
      <c r="E7" s="32"/>
      <c r="F7" s="32"/>
    </row>
    <row r="8" ht="22" customHeight="1" spans="1:19">
      <c r="A8" s="26" t="s">
        <v>18</v>
      </c>
      <c r="B8" s="27" t="s">
        <v>19</v>
      </c>
      <c r="C8" s="27" t="s">
        <v>20</v>
      </c>
      <c r="D8" s="27" t="s">
        <v>21</v>
      </c>
      <c r="E8" s="27" t="s">
        <v>22</v>
      </c>
      <c r="F8" s="27" t="s">
        <v>23</v>
      </c>
      <c r="G8" s="33" t="s">
        <v>24</v>
      </c>
      <c r="H8" s="34" t="s">
        <v>25</v>
      </c>
    </row>
    <row r="9" ht="22" customHeight="1" spans="1:19">
      <c r="A9" s="29"/>
      <c r="B9" s="30" t="s">
        <v>26</v>
      </c>
      <c r="C9" s="30" t="s">
        <v>27</v>
      </c>
      <c r="D9" s="30" t="s">
        <v>28</v>
      </c>
      <c r="E9" s="30" t="s">
        <v>29</v>
      </c>
      <c r="F9" s="30" t="s">
        <v>30</v>
      </c>
      <c r="G9" s="35">
        <f>IFERROR(E9/F9*100,0)</f>
        <v>0</v>
      </c>
      <c r="H9" s="36">
        <f>IFERROR(B9*C9*D9/F9,0)</f>
        <v>0</v>
      </c>
    </row>
    <row r="10" ht="22" customHeight="1" spans="1:19">
      <c r="A10" s="26" t="s">
        <v>31</v>
      </c>
      <c r="B10" s="27" t="s">
        <v>32</v>
      </c>
      <c r="C10" s="27" t="s">
        <v>33</v>
      </c>
      <c r="D10" s="27" t="s">
        <v>34</v>
      </c>
      <c r="E10" s="27" t="s">
        <v>35</v>
      </c>
      <c r="F10" s="27" t="s">
        <v>36</v>
      </c>
    </row>
    <row r="11" ht="22" customHeight="1" spans="1:19">
      <c r="A11" s="29"/>
      <c r="B11" s="30" t="s">
        <v>37</v>
      </c>
      <c r="C11" s="30"/>
      <c r="D11" s="30">
        <v>1.1</v>
      </c>
      <c r="E11" s="37">
        <v>6.8</v>
      </c>
      <c r="F11" s="38">
        <v>0.3</v>
      </c>
    </row>
    <row r="12" ht="22" customHeight="1" spans="1:19">
      <c r="A12" s="26" t="s">
        <v>38</v>
      </c>
      <c r="B12" s="26" t="s">
        <v>39</v>
      </c>
      <c r="C12" s="26" t="s">
        <v>40</v>
      </c>
      <c r="D12" s="39" t="s">
        <v>41</v>
      </c>
      <c r="E12" s="40" t="s">
        <v>42</v>
      </c>
      <c r="F12" s="41"/>
      <c r="G12" s="41"/>
      <c r="H12" s="41"/>
    </row>
    <row r="13" ht="22" customHeight="1" spans="1:19">
      <c r="A13" s="34" t="s">
        <v>43</v>
      </c>
      <c r="B13" s="42">
        <v>75</v>
      </c>
      <c r="C13" s="42">
        <v>65</v>
      </c>
      <c r="D13" s="43">
        <v>25</v>
      </c>
      <c r="E13" s="44"/>
      <c r="F13" s="44" t="s">
        <v>44</v>
      </c>
      <c r="G13" s="44" t="s">
        <v>45</v>
      </c>
      <c r="H13" s="44" t="s">
        <v>46</v>
      </c>
    </row>
    <row r="14" ht="22" customHeight="1" spans="1:19">
      <c r="A14" s="34" t="s">
        <v>47</v>
      </c>
      <c r="B14" s="45">
        <v>5000</v>
      </c>
      <c r="C14" s="45">
        <v>6000</v>
      </c>
      <c r="D14" s="46">
        <v>6000</v>
      </c>
      <c r="E14" s="47" t="s">
        <v>48</v>
      </c>
      <c r="F14" s="48" t="b">
        <v>1</v>
      </c>
      <c r="G14" s="48" t="b">
        <v>1</v>
      </c>
      <c r="H14" s="48" t="b">
        <v>1</v>
      </c>
      <c r="I14" s="49" t="s">
        <v>49</v>
      </c>
      <c r="S14" s="50"/>
    </row>
    <row r="15" ht="22" customHeight="1" spans="1:19">
      <c r="A15" s="34" t="s">
        <v>50</v>
      </c>
      <c r="B15" s="51">
        <v>0</v>
      </c>
      <c r="C15" s="51">
        <v>0</v>
      </c>
      <c r="D15" s="52">
        <v>0</v>
      </c>
      <c r="E15" s="53" t="s">
        <v>51</v>
      </c>
      <c r="F15" s="54" t="str">
        <f>$B$2&amp;" "&amp;$C$2</f>
        <v>@Product_Number @Product_Name</v>
      </c>
      <c r="G15" s="54"/>
      <c r="H15" s="54"/>
      <c r="I15" s="55"/>
      <c r="J15" s="54"/>
      <c r="S15" s="50"/>
    </row>
    <row r="16" ht="22" customHeight="1" spans="1:19">
      <c r="A16" s="34" t="s">
        <v>52</v>
      </c>
      <c r="B16" s="31">
        <f>IFERROR($H9/B14,0)</f>
        <v>0</v>
      </c>
      <c r="C16" s="31">
        <f>IFERROR($H9/C14,0)</f>
        <v>0</v>
      </c>
      <c r="D16" s="56">
        <f>IFERROR($H9/D14,0)</f>
        <v>0</v>
      </c>
      <c r="E16" s="53" t="s">
        <v>53</v>
      </c>
      <c r="F16" s="57" t="str">
        <f>IF(B4&lt;&gt;"",B4&amp;" pcs","")</f>
        <v/>
      </c>
      <c r="G16" s="57" t="str">
        <f>IF(C4&lt;&gt;"",C4&amp;" pcs","")</f>
        <v/>
      </c>
      <c r="H16" s="57" t="str">
        <f>IF(D4&lt;&gt;"",D4&amp;" pcs","")</f>
        <v/>
      </c>
      <c r="I16" s="58" t="str">
        <f>IF(E4&lt;&gt;"",E4&amp;" pcs","")</f>
        <v/>
      </c>
      <c r="J16" s="57" t="str">
        <f>IF(F4&lt;&gt;"",F4&amp;" pcs","")</f>
        <v/>
      </c>
      <c r="S16" s="50"/>
    </row>
    <row r="17" ht="22" customHeight="1" spans="1:14">
      <c r="A17" s="34" t="s">
        <v>54</v>
      </c>
      <c r="B17" s="31">
        <f>MAX(B16,$G9/1000)</f>
        <v>0</v>
      </c>
      <c r="C17" s="31">
        <f>MAX(C16,$G9/1000)</f>
        <v>0</v>
      </c>
      <c r="D17" s="56">
        <f>MAX(D16,$G9/1000)</f>
        <v>0</v>
      </c>
      <c r="E17" s="53" t="s">
        <v>55</v>
      </c>
      <c r="F17" s="59" t="str">
        <f>IF(B7&lt;&gt;"","$ "&amp;B7&amp;" /ea","")</f>
        <v/>
      </c>
      <c r="G17" s="59" t="str">
        <f>IF(C7&lt;&gt;"","$ "&amp;C7&amp;" /ea","")</f>
        <v/>
      </c>
      <c r="H17" s="59" t="str">
        <f>IF(D7&lt;&gt;"","$ "&amp;D7&amp;" /ea","")</f>
        <v/>
      </c>
      <c r="I17" s="60" t="str">
        <f>IF(E7&lt;&gt;"","$ "&amp;E7&amp;" /ea","")</f>
        <v/>
      </c>
      <c r="J17" s="59" t="str">
        <f>IF(F7&lt;&gt;"","$ "&amp;F7&amp;" /ea","")</f>
        <v/>
      </c>
    </row>
    <row r="18" ht="22" customHeight="1" spans="1:14">
      <c r="A18" s="34" t="s">
        <v>56</v>
      </c>
      <c r="B18" s="61">
        <f>IFERROR(B16/$G9,0)</f>
        <v>0</v>
      </c>
      <c r="C18" s="61">
        <f>IFERROR(C16/$G9,0)</f>
        <v>0</v>
      </c>
      <c r="D18" s="62">
        <f>IFERROR(D16/$G9,0)</f>
        <v>0</v>
      </c>
      <c r="E18" s="53" t="s">
        <v>57</v>
      </c>
      <c r="F18" s="57" t="str">
        <f>IF(F2=0,"FREE","$ "&amp;$F2)&amp;" for "&amp;D2&amp;" C "&amp;E2&amp;" L"</f>
        <v>$ 50 for 1 C 1 L</v>
      </c>
      <c r="G18" s="57"/>
      <c r="H18" s="57"/>
      <c r="I18" s="58"/>
      <c r="J18" s="57"/>
    </row>
    <row r="19" ht="22" customHeight="1" spans="1:14">
      <c r="A19" s="34" t="s">
        <v>58</v>
      </c>
      <c r="B19" s="31">
        <f>ROUNDUP(B17*$B4,2)</f>
        <v>0</v>
      </c>
      <c r="C19" s="31">
        <f>ROUNDUP(C17*$B4,2)</f>
        <v>0</v>
      </c>
      <c r="D19" s="56">
        <f>MAX(ROUNDUP(D17*$B4,2),15)</f>
        <v>15</v>
      </c>
      <c r="E19" s="53" t="s">
        <v>59</v>
      </c>
      <c r="F19" s="57" t="s">
        <v>60</v>
      </c>
      <c r="G19" s="57"/>
      <c r="H19" s="57"/>
      <c r="I19" s="58"/>
      <c r="J19" s="57"/>
    </row>
    <row r="20" ht="22" customHeight="1" spans="1:14">
      <c r="A20" s="34" t="s">
        <v>61</v>
      </c>
      <c r="B20" s="45" t="e">
        <f>B19/B4*B13/$E11*D11</f>
        <v>#DIV/0!</v>
      </c>
      <c r="C20" s="45" t="e">
        <f>C19/B4*C13/$E11*D11</f>
        <v>#DIV/0!</v>
      </c>
      <c r="D20" s="46" t="e">
        <f>D19/B4*D13/$E11*D11</f>
        <v>#DIV/0!</v>
      </c>
      <c r="E20" s="53" t="str" cm="1">
        <f t="array" ref="E20">_xlfn.IFS(F14,"Shipping Cost(Express):",G14,"Shipping Cost(Air):",H14,"Shipping Cost(Ocean):")</f>
        <v>Shipping Cost(Express):</v>
      </c>
      <c r="F20" s="57" t="e" cm="1">
        <f t="array" ref="F20">_xlfn.IFS(F14,"$ "&amp;IF(B23=0,"FREE",B23)&amp;"/ea",G14,"$ "&amp;IF(C23=0,"FREE",C23)&amp;"/ea",H14,"$ "&amp;IF(D23=0,"FREE",D23)&amp;"/ea")</f>
        <v>#DIV/0!</v>
      </c>
      <c r="G20" s="57" t="str" cm="1">
        <f t="array" ref="G20">_xlfn.IFS(F14,"5-7 days via Express",G14,"12-15 days via Air",H14,"25-30 days via Ocean")</f>
        <v>5-7 days via Express</v>
      </c>
      <c r="H20" s="57"/>
      <c r="I20" s="58"/>
      <c r="J20" s="57"/>
    </row>
    <row r="21" ht="22" customHeight="1" spans="1:14">
      <c r="A21" s="34" t="s">
        <v>62</v>
      </c>
      <c r="B21" s="45" t="e">
        <f>B20+$B11*(1+B15)/$E11+($C11)/$B4/$E11</f>
        <v>#DIV/0!</v>
      </c>
      <c r="C21" s="45" t="e">
        <f>C20+$B11*(1+C15)/$E11+($C11)/$B4/$E11</f>
        <v>#DIV/0!</v>
      </c>
      <c r="D21" s="46" t="e">
        <f>D20+$B11*(1+D15)/$E11+($C11)/$B4/$E11</f>
        <v>#DIV/0!</v>
      </c>
      <c r="E21" s="53" t="str" cm="1">
        <f t="array" ref="E21">_xlfn.IFNA(_xlfn.IFS(AND(G14,F14),"Shipping Cost(Air)",AND(OR(F14,G14),H14),"Shipping Cost(Ocean)"),"")</f>
        <v>Shipping Cost(Air)</v>
      </c>
      <c r="F21" s="57" t="e" cm="1">
        <f t="array" ref="F21">_xlfn.IFNA(_xlfn.IFS(AND(G14,F14),"$ "&amp;IF(C23=0,"FREE",C23)&amp;"/ea",AND(OR(F14,G14),H14),"$ "&amp;IF(D23=0,"FREE",D23)&amp;"/ea"),"")</f>
        <v>#DIV/0!</v>
      </c>
      <c r="G21" s="57" t="str" cm="1">
        <f t="array" ref="G21">_xlfn.IFNA(_xlfn.IFS(AND(G14,F14),"12-15 days via Air",AND(OR(F14,G14),H14),"25-30 days via Ocean"),"")</f>
        <v>12-15 days via Air</v>
      </c>
      <c r="H21" s="57"/>
      <c r="I21" s="58"/>
      <c r="J21" s="57"/>
    </row>
    <row r="22" ht="22" customHeight="1" spans="1:14">
      <c r="A22" s="34" t="s">
        <v>63</v>
      </c>
      <c r="B22" s="63" t="e">
        <f>ROUNDUP(B21/(1-$F11)-$B7,2)</f>
        <v>#DIV/0!</v>
      </c>
      <c r="C22" s="63" t="e">
        <f>ROUNDUP(C21/(1-$F11)-$B7,2)</f>
        <v>#DIV/0!</v>
      </c>
      <c r="D22" s="64" t="e">
        <f>ROUNDUP(D21/(1-$F11)-$B7,2)</f>
        <v>#DIV/0!</v>
      </c>
      <c r="E22" s="53" t="str">
        <f>IF(AND(F14,G14,H14),"Shipping Cost(Ocean)","")</f>
        <v>Shipping Cost(Ocean)</v>
      </c>
      <c r="F22" s="57" t="e">
        <f>IF(AND(F14,G14,H14),"$ "&amp;IF(D23=0,"FREE",D23)&amp;"/ea","")</f>
        <v>#DIV/0!</v>
      </c>
      <c r="G22" s="57" t="str">
        <f>IF(AND(F14,G14,H14),"25-30 days via Ocean","")</f>
        <v>25-30 days via Ocean</v>
      </c>
      <c r="H22" s="57"/>
      <c r="I22" s="58"/>
      <c r="J22" s="57"/>
    </row>
    <row r="23" ht="22" customHeight="1" spans="1:14">
      <c r="A23" s="34" t="s">
        <v>64</v>
      </c>
      <c r="B23" s="65" t="e">
        <f>B22</f>
        <v>#DIV/0!</v>
      </c>
      <c r="C23" s="65" t="e">
        <f>C22</f>
        <v>#DIV/0!</v>
      </c>
      <c r="D23" s="66" t="e">
        <f>MAX(D22,0)</f>
        <v>#DIV/0!</v>
      </c>
      <c r="E23" s="53" t="str" cm="1">
        <f t="array" ref="E23">_xlfn.IFS(F14,"Total Cost(Express):",G14,"Total Cost(Air):",H14,"Total Cost(Ocean):")</f>
        <v>Total Cost(Express):</v>
      </c>
      <c r="F23" s="67" t="str">
        <f>IF(B4&lt;&gt;"",($B$23+B$7)*B$4,"")</f>
        <v/>
      </c>
      <c r="G23" s="59" t="str">
        <f>IF(C4&lt;&gt;"",($B$23+C$7)*C$4,"")</f>
        <v/>
      </c>
      <c r="H23" s="59" t="str">
        <f>IF(D4&lt;&gt;"",($B$23+D$7)*D$4,"")</f>
        <v/>
      </c>
      <c r="I23" s="59" t="str">
        <f>IF(E4&lt;&gt;"",($B$23+E$7)*E$4,"")</f>
        <v/>
      </c>
      <c r="J23" s="59" t="str">
        <f>IF(F4&lt;&gt;"",($B$23+F$7)*F$4,"")</f>
        <v/>
      </c>
      <c r="K23" s="68"/>
      <c r="N23" s="69"/>
    </row>
    <row r="24" ht="22" customHeight="1" spans="1:14">
      <c r="A24" s="34" t="s">
        <v>65</v>
      </c>
      <c r="B24" s="51">
        <f>IFERROR(B23/$B7,0)</f>
        <v>0</v>
      </c>
      <c r="C24" s="51">
        <f>IFERROR(C23/$B7,0)</f>
        <v>0</v>
      </c>
      <c r="D24" s="52">
        <f>IFERROR(D23/$B7,0)</f>
        <v>0</v>
      </c>
      <c r="E24" s="53" t="str" cm="1">
        <f t="array" ref="E24">_xlfn.IFNA(_xlfn.IFS(AND(G14,F14),"Total Cost(Air)",AND(OR(F14,G14),H14),"Total Cost(Ocean)"),"")</f>
        <v>Total Cost(Air)</v>
      </c>
      <c r="F24" s="67" t="str">
        <f>IF(B4&lt;&gt;"",($C$23+B$7)*B$4,"")</f>
        <v/>
      </c>
      <c r="G24" s="59" t="str">
        <f>IF(C4&lt;&gt;"",($C$23+C$7)*C$4,"")</f>
        <v/>
      </c>
      <c r="H24" s="59" t="str">
        <f>IF(D4&lt;&gt;"",($C$23+D$7)*D$4,"")</f>
        <v/>
      </c>
      <c r="I24" s="59" t="str">
        <f>IF(E4&lt;&gt;"",($C$23+E$7)*E$4,"")</f>
        <v/>
      </c>
      <c r="J24" s="59" t="str">
        <f>IF(F4&lt;&gt;"",($C$23+F$7)*F$4,"")</f>
        <v/>
      </c>
      <c r="N24" s="68"/>
    </row>
    <row r="25" ht="22" customHeight="1" spans="1:14">
      <c r="A25" s="34" t="s">
        <v>66</v>
      </c>
      <c r="B25" s="70" t="e">
        <f>B23+$B7</f>
        <v>#DIV/0!</v>
      </c>
      <c r="C25" s="70" t="e">
        <f>C23+$B7</f>
        <v>#DIV/0!</v>
      </c>
      <c r="D25" s="71" t="e">
        <f>D23+$B7</f>
        <v>#DIV/0!</v>
      </c>
      <c r="E25" s="53" t="str">
        <f>IF(AND(F14,G14,H14),"Total Cost(Ocean)","")</f>
        <v>Total Cost(Ocean)</v>
      </c>
      <c r="F25" s="67" t="str">
        <f>IF(B4&lt;&gt;"",($D$23+B$7)*B$4,"")</f>
        <v/>
      </c>
      <c r="G25" s="59" t="str">
        <f>IF(C4&lt;&gt;"",($D$23+C$7)*C$4,"")</f>
        <v/>
      </c>
      <c r="H25" s="59" t="str">
        <f>IF(D4&lt;&gt;"",($D$23+D$7)*D$4,"")</f>
        <v/>
      </c>
      <c r="I25" s="59" t="str">
        <f>IF(E4&lt;&gt;"",($D$23+E$7)*E$4,"")</f>
        <v/>
      </c>
      <c r="J25" s="59" t="str">
        <f>IF(F4&lt;&gt;"",($D$23+F$7)*F$4,"")</f>
        <v/>
      </c>
      <c r="N25" s="68"/>
    </row>
    <row r="26" ht="22" customHeight="1" spans="1:14">
      <c r="A26" s="34" t="s">
        <v>67</v>
      </c>
      <c r="B26" s="70" t="e">
        <f>(B23+$B7-B21)*$B4</f>
        <v>#DIV/0!</v>
      </c>
      <c r="C26" s="70" t="e">
        <f>(C23+$B7-C21)*$B4</f>
        <v>#DIV/0!</v>
      </c>
      <c r="D26" s="70" t="e">
        <f>(D23+$B7-D21)*$B4</f>
        <v>#DIV/0!</v>
      </c>
      <c r="N26" s="68"/>
    </row>
    <row r="27" ht="22" customHeight="1" spans="1:14">
      <c r="A27" s="34" t="s">
        <v>68</v>
      </c>
      <c r="B27" s="72" t="str">
        <f>IF($B4&lt;&gt;0,IFERROR((B23+$B7-B21)*$B4/(($B7+B23)*$B4),0),"")</f>
        <v/>
      </c>
      <c r="C27" s="72" t="str">
        <f>IF($B4&lt;&gt;0,IFERROR((C23+$B7-C21)*$B4/(($B7+C23)*$B4),0),"")</f>
        <v/>
      </c>
      <c r="D27" s="72" t="str">
        <f>IF($B4&lt;&gt;0,IFERROR((D23+$B7-D21)*$B4/(($B7+D23)*$B4),0),"")</f>
        <v/>
      </c>
      <c r="N27" s="68"/>
    </row>
    <row r="28" ht="22" customHeight="1" spans="1:14">
      <c r="A28" s="34" t="s">
        <v>69</v>
      </c>
      <c r="B28" s="72" t="str">
        <f>IF($C4&lt;&gt;0,IFERROR((B23+$C7-B21)*$C4/(($C7+B23)*$C4),0),"")</f>
        <v/>
      </c>
      <c r="C28" s="72" t="str">
        <f>IF($C4&lt;&gt;0,IFERROR((C23+$C7-C21)*$C4/(($C7+C23)*$C4),0),"")</f>
        <v/>
      </c>
      <c r="D28" s="72" t="str">
        <f>IF($C4&lt;&gt;0,IFERROR((D23+$C7-D21)*$C4/(($C7+D23)*$C4),0),"")</f>
        <v/>
      </c>
      <c r="N28" s="68"/>
    </row>
    <row r="29" ht="22" customHeight="1" spans="1:14">
      <c r="A29" s="34" t="s">
        <v>70</v>
      </c>
      <c r="B29" s="72" t="str">
        <f>IF($D4&lt;&gt;0,IFERROR((B23+$D7-B21)*$D4/(($D7+B23)*$D4),0),"")</f>
        <v/>
      </c>
      <c r="C29" s="72" t="str">
        <f>IF($D4&lt;&gt;0,IFERROR((C23+$D7-C21)*$D4/(($D7+C23)*$D4),0),"")</f>
        <v/>
      </c>
      <c r="D29" s="72" t="str">
        <f>IF($D4&lt;&gt;0,IFERROR((D23+$D7-D21)*$D4/(($D7+D23)*$D4),0),"")</f>
        <v/>
      </c>
      <c r="N29" s="68"/>
    </row>
    <row r="30" ht="22" customHeight="1" spans="1:14">
      <c r="A30" s="34" t="s">
        <v>71</v>
      </c>
      <c r="B30" s="72" t="str">
        <f>IF($E4&lt;&gt;0,IFERROR((B23+$E7-B21)*$E4/(($E7+B23)*$E4),0),"")</f>
        <v/>
      </c>
      <c r="C30" s="72" t="str">
        <f>IF($E4&lt;&gt;0,IFERROR((C23+$E7-C21)*$E4/(($E7+C23)*$E4),0),"")</f>
        <v/>
      </c>
      <c r="D30" s="72" t="str">
        <f>IF($E4&lt;&gt;0,IFERROR((D23+$E7-D21)*$E4/(($E7+D23)*$E4),0),"")</f>
        <v/>
      </c>
      <c r="N30" s="68"/>
    </row>
    <row r="31" ht="22" customHeight="1" spans="1:14">
      <c r="A31" s="34" t="s">
        <v>72</v>
      </c>
      <c r="B31" s="72" t="str">
        <f>IF($F4&lt;&gt;0,IFERROR((B23+$F7-B21)*$F4/(($F7+B23)*$F4),0),"")</f>
        <v/>
      </c>
      <c r="C31" s="72" t="str">
        <f>IF($F4&lt;&gt;0,IFERROR((C23+$F7-C21)*$F4/(($F7+C23)*$F4),0),"")</f>
        <v/>
      </c>
      <c r="D31" s="72" t="str">
        <f>IF($F4&lt;&gt;0,IFERROR((D23+$F7-D21)*$F4/(($F7+D23)*$F4),0),"")</f>
        <v/>
      </c>
      <c r="N31" s="68"/>
    </row>
    <row r="32" ht="107" spans="1:14">
      <c r="A32" s="73" t="s">
        <v>73</v>
      </c>
      <c r="B32" s="73" t="s">
        <v>74</v>
      </c>
      <c r="C32" s="73" t="s">
        <v>75</v>
      </c>
      <c r="D32" s="73" t="s">
        <v>76</v>
      </c>
      <c r="E32" s="73" t="s">
        <v>77</v>
      </c>
      <c r="F32" s="73" t="s">
        <v>78</v>
      </c>
      <c r="G32" s="73" t="s">
        <v>79</v>
      </c>
      <c r="N32" s="68"/>
    </row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  <row r="201" ht="19" customHeight="1"/>
    <row r="202" ht="19" customHeight="1"/>
  </sheetData>
  <mergeCells count="4">
    <mergeCell ref="E12:H12"/>
    <mergeCell ref="A1:A7"/>
    <mergeCell ref="A8:A9"/>
    <mergeCell ref="A10:A11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type="list" allowBlank="1" showErrorMessage="1" sqref="F14:H14">
      <formula1>"TRUE,FALSE"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3961235-efcc-403b-99d4-0f315ca3cb65}">
            <x14:iconSet iconSet="3TrafficLights2" custom="1">
              <x14:cfvo type="percent">
                <xm:f>0</xm:f>
              </x14:cfvo>
              <x14:cfvo type="num" gte="0">
                <xm:f>0</xm:f>
              </x14:cfvo>
              <x14:cfvo type="num">
                <xm:f>15</xm:f>
              </x14:cfvo>
              <x14:cfIcon iconSet="NoIcons" iconId="0"/>
              <x14:cfIcon iconSet="3Symbols" iconId="1"/>
              <x14:cfIcon iconSet="NoIcons" iconId="0"/>
            </x14:iconSet>
          </x14:cfRule>
          <xm:sqref>B5:F5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B4" sqref="B4"/>
    </sheetView>
  </sheetViews>
  <sheetFormatPr defaultColWidth="14" defaultRowHeight="15.2" outlineLevelCol="3"/>
  <cols>
    <col min="1" max="1" width="29.6442307692308" customWidth="1"/>
    <col min="2" max="2" width="32" customWidth="1"/>
    <col min="3" max="20" width="14" customWidth="1"/>
  </cols>
  <sheetData>
    <row r="1" ht="85" customHeight="1" spans="1:4">
      <c r="A1" s="19" t="s">
        <v>80</v>
      </c>
      <c r="B1" s="19"/>
      <c r="C1" s="20"/>
      <c r="D1" s="3"/>
    </row>
    <row r="2" ht="21" customHeight="1" spans="1:4">
      <c r="A2" s="21" t="s">
        <v>81</v>
      </c>
      <c r="B2" s="21" t="s">
        <v>82</v>
      </c>
    </row>
    <row r="3" ht="19" customHeight="1" spans="1:4">
      <c r="A3" s="22">
        <v>0.5</v>
      </c>
      <c r="B3" s="23">
        <v>400</v>
      </c>
    </row>
    <row r="4" ht="19" customHeight="1" spans="1:4">
      <c r="A4" s="22">
        <v>1</v>
      </c>
      <c r="B4" s="23">
        <v>220</v>
      </c>
    </row>
    <row r="5" ht="19" customHeight="1" spans="1:4">
      <c r="A5" s="22">
        <v>1.5</v>
      </c>
      <c r="B5" s="23">
        <v>200</v>
      </c>
    </row>
    <row r="6" ht="19" customHeight="1" spans="1:4">
      <c r="A6" s="22">
        <v>2</v>
      </c>
      <c r="B6" s="23">
        <v>165</v>
      </c>
    </row>
    <row r="7" ht="19" customHeight="1" spans="1:4">
      <c r="A7" s="22">
        <v>2.5</v>
      </c>
      <c r="B7" s="23">
        <v>160</v>
      </c>
    </row>
    <row r="8" ht="19" customHeight="1" spans="1:4">
      <c r="A8" s="22">
        <v>3</v>
      </c>
      <c r="B8" s="23">
        <v>147</v>
      </c>
    </row>
    <row r="9" ht="19" customHeight="1" spans="1:4">
      <c r="A9" s="22">
        <v>3.5</v>
      </c>
      <c r="B9" s="23">
        <v>163</v>
      </c>
    </row>
    <row r="10" ht="19" customHeight="1" spans="1:4">
      <c r="A10" s="22">
        <v>4</v>
      </c>
      <c r="B10" s="23">
        <v>150</v>
      </c>
    </row>
    <row r="11" ht="19" customHeight="1" spans="1:4">
      <c r="A11" s="22">
        <v>4.5</v>
      </c>
      <c r="B11" s="23">
        <v>144</v>
      </c>
    </row>
    <row r="12" ht="19" customHeight="1" spans="1:4">
      <c r="A12" s="22">
        <v>5</v>
      </c>
      <c r="B12" s="23">
        <v>132</v>
      </c>
    </row>
    <row r="13" ht="19" customHeight="1" spans="1:4">
      <c r="A13" s="22">
        <v>5.5</v>
      </c>
      <c r="B13" s="23">
        <v>127</v>
      </c>
    </row>
    <row r="14" ht="19" customHeight="1" spans="1:4">
      <c r="A14" s="22">
        <v>6</v>
      </c>
      <c r="B14" s="23">
        <v>125</v>
      </c>
    </row>
    <row r="15" ht="19" customHeight="1" spans="1:4">
      <c r="A15" s="22">
        <v>6.5</v>
      </c>
      <c r="B15" s="23">
        <v>120</v>
      </c>
    </row>
    <row r="16" ht="19" customHeight="1" spans="1:4">
      <c r="A16" s="22">
        <v>7</v>
      </c>
      <c r="B16" s="23">
        <v>114</v>
      </c>
    </row>
    <row r="17" ht="19" customHeight="1" spans="1:2">
      <c r="A17" s="22">
        <v>7.5</v>
      </c>
      <c r="B17" s="23">
        <v>113</v>
      </c>
    </row>
    <row r="18" ht="19" customHeight="1" spans="1:2">
      <c r="A18" s="22">
        <v>8</v>
      </c>
      <c r="B18" s="23">
        <v>113</v>
      </c>
    </row>
    <row r="19" ht="19" customHeight="1" spans="1:2">
      <c r="A19" s="22">
        <v>8.5</v>
      </c>
      <c r="B19" s="23">
        <v>108</v>
      </c>
    </row>
    <row r="20" ht="19" customHeight="1" spans="1:2">
      <c r="A20" s="22">
        <v>9</v>
      </c>
      <c r="B20" s="23">
        <v>106</v>
      </c>
    </row>
    <row r="21" ht="19" customHeight="1" spans="1:2">
      <c r="A21" s="22">
        <v>9.5</v>
      </c>
      <c r="B21" s="23">
        <v>104</v>
      </c>
    </row>
    <row r="22" ht="19" customHeight="1" spans="1:2">
      <c r="A22" s="22">
        <v>10</v>
      </c>
      <c r="B22" s="23">
        <v>103</v>
      </c>
    </row>
    <row r="23" ht="19" customHeight="1" spans="1:2">
      <c r="A23" s="22">
        <v>10.5</v>
      </c>
      <c r="B23" s="23">
        <v>100</v>
      </c>
    </row>
    <row r="24" ht="19" customHeight="1" spans="1:2">
      <c r="A24" s="22">
        <v>11</v>
      </c>
      <c r="B24" s="23">
        <v>98</v>
      </c>
    </row>
    <row r="25" ht="19" customHeight="1" spans="1:2">
      <c r="A25" s="22">
        <v>11.5</v>
      </c>
      <c r="B25" s="23">
        <v>96</v>
      </c>
    </row>
    <row r="26" ht="19" customHeight="1" spans="1:2">
      <c r="A26" s="22">
        <v>12</v>
      </c>
      <c r="B26" s="23">
        <v>94</v>
      </c>
    </row>
    <row r="27" ht="19" customHeight="1" spans="1:2">
      <c r="A27" s="22">
        <v>12.5</v>
      </c>
      <c r="B27" s="23">
        <v>94</v>
      </c>
    </row>
    <row r="28" ht="19" customHeight="1" spans="1:2">
      <c r="A28" s="22">
        <v>13</v>
      </c>
      <c r="B28" s="23">
        <v>92</v>
      </c>
    </row>
    <row r="29" ht="19" customHeight="1" spans="1:2">
      <c r="A29" s="22">
        <v>13.5</v>
      </c>
      <c r="B29" s="23">
        <v>90</v>
      </c>
    </row>
    <row r="30" ht="19" customHeight="1" spans="1:2">
      <c r="A30" s="22">
        <v>14</v>
      </c>
      <c r="B30" s="23">
        <v>90</v>
      </c>
    </row>
    <row r="31" ht="19" customHeight="1" spans="1:2">
      <c r="A31" s="22">
        <v>14.5</v>
      </c>
      <c r="B31" s="23">
        <v>88</v>
      </c>
    </row>
    <row r="32" ht="19" customHeight="1" spans="1:2">
      <c r="A32" s="22">
        <v>15</v>
      </c>
      <c r="B32" s="23">
        <v>87</v>
      </c>
    </row>
    <row r="33" ht="19" customHeight="1" spans="1:2">
      <c r="A33" s="22">
        <v>15.5</v>
      </c>
      <c r="B33" s="23">
        <v>87</v>
      </c>
    </row>
    <row r="34" ht="19" customHeight="1" spans="1:2">
      <c r="A34" s="22">
        <v>16</v>
      </c>
      <c r="B34" s="23">
        <v>86</v>
      </c>
    </row>
    <row r="35" ht="19" customHeight="1" spans="1:2">
      <c r="A35" s="22">
        <v>16.5</v>
      </c>
      <c r="B35" s="23">
        <v>85</v>
      </c>
    </row>
    <row r="36" ht="19" customHeight="1" spans="1:2">
      <c r="A36" s="22">
        <v>17</v>
      </c>
      <c r="B36" s="23">
        <v>84</v>
      </c>
    </row>
    <row r="37" ht="19" customHeight="1" spans="1:2">
      <c r="A37" s="22">
        <v>17.5</v>
      </c>
      <c r="B37" s="23">
        <v>83</v>
      </c>
    </row>
    <row r="38" ht="19" customHeight="1" spans="1:2">
      <c r="A38" s="22">
        <v>18</v>
      </c>
      <c r="B38" s="23">
        <v>82</v>
      </c>
    </row>
    <row r="39" ht="19" customHeight="1" spans="1:2">
      <c r="A39" s="22">
        <v>18.5</v>
      </c>
      <c r="B39" s="23">
        <v>81</v>
      </c>
    </row>
    <row r="40" ht="19" customHeight="1" spans="1:2">
      <c r="A40" s="22">
        <v>19</v>
      </c>
      <c r="B40" s="23">
        <v>81</v>
      </c>
    </row>
    <row r="41" ht="19" customHeight="1" spans="1:2">
      <c r="A41" s="22">
        <v>19.5</v>
      </c>
      <c r="B41" s="23">
        <v>79</v>
      </c>
    </row>
    <row r="42" ht="19" customHeight="1" spans="1:2">
      <c r="A42" s="22">
        <v>20</v>
      </c>
      <c r="B42" s="23">
        <v>80</v>
      </c>
    </row>
    <row r="43" ht="19" customHeight="1" spans="1:2">
      <c r="A43" s="22">
        <v>20.5</v>
      </c>
      <c r="B43" s="23">
        <v>78</v>
      </c>
    </row>
    <row r="44" ht="19" customHeight="1" spans="1:2">
      <c r="A44" s="24">
        <v>20</v>
      </c>
      <c r="B44" s="23">
        <v>58</v>
      </c>
    </row>
    <row r="45" ht="19" customHeight="1" spans="1:2">
      <c r="A45" s="24">
        <v>20.5</v>
      </c>
      <c r="B45" s="23">
        <v>58</v>
      </c>
    </row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tabSelected="1" topLeftCell="A4" workbookViewId="0">
      <selection activeCell="C5" sqref="C5:G19"/>
    </sheetView>
  </sheetViews>
  <sheetFormatPr defaultColWidth="14" defaultRowHeight="15.2" outlineLevelCol="7"/>
  <cols>
    <col min="1" max="20" width="12" customWidth="1"/>
  </cols>
  <sheetData>
    <row r="1" ht="48" customHeight="1" spans="1:8">
      <c r="A1" s="7" t="s">
        <v>83</v>
      </c>
      <c r="B1" s="7"/>
      <c r="C1" s="7"/>
      <c r="D1" s="7"/>
      <c r="E1" s="7"/>
      <c r="F1" s="7"/>
      <c r="G1" s="7"/>
    </row>
    <row r="2" ht="62" customHeight="1" spans="1:8">
      <c r="A2" s="8" t="s">
        <v>84</v>
      </c>
      <c r="B2" s="9"/>
      <c r="C2" s="9"/>
      <c r="D2" s="9"/>
      <c r="E2" s="9"/>
      <c r="F2" s="9"/>
      <c r="G2" s="9"/>
    </row>
    <row r="3" ht="71" customHeight="1" spans="1:8">
      <c r="A3" s="10" t="s">
        <v>85</v>
      </c>
      <c r="B3" s="10"/>
      <c r="C3" s="10"/>
      <c r="D3" s="10"/>
      <c r="E3" s="10"/>
      <c r="F3" s="10"/>
      <c r="G3" s="10"/>
    </row>
    <row r="4" ht="30" customHeight="1" spans="1:8">
      <c r="A4" s="11" t="s">
        <v>86</v>
      </c>
      <c r="B4" s="12" t="s">
        <v>87</v>
      </c>
      <c r="C4" s="13" t="s">
        <v>88</v>
      </c>
      <c r="D4" s="13"/>
      <c r="E4" s="13"/>
      <c r="F4" s="13"/>
      <c r="G4" s="13"/>
      <c r="H4" s="5"/>
    </row>
    <row r="5" ht="19" customHeight="1" spans="1:8">
      <c r="A5" s="14">
        <v>3</v>
      </c>
      <c r="B5" s="15">
        <v>114</v>
      </c>
      <c r="C5" s="16" t="s">
        <v>89</v>
      </c>
      <c r="D5" s="17"/>
      <c r="E5" s="17"/>
      <c r="F5" s="17"/>
      <c r="G5" s="16"/>
    </row>
    <row r="6" ht="19" customHeight="1" spans="1:8">
      <c r="A6" s="14">
        <v>3.5</v>
      </c>
      <c r="B6" s="15">
        <v>112</v>
      </c>
      <c r="C6" s="16"/>
      <c r="D6" s="17"/>
      <c r="E6" s="17"/>
      <c r="F6" s="17"/>
      <c r="G6" s="16"/>
    </row>
    <row r="7" ht="19" customHeight="1" spans="1:8">
      <c r="A7" s="14">
        <v>4</v>
      </c>
      <c r="B7" s="15">
        <v>110</v>
      </c>
      <c r="C7" s="16"/>
      <c r="D7" s="17"/>
      <c r="E7" s="17"/>
      <c r="F7" s="17"/>
      <c r="G7" s="16"/>
    </row>
    <row r="8" ht="19" customHeight="1" spans="1:8">
      <c r="A8" s="14">
        <v>4.5</v>
      </c>
      <c r="B8" s="15">
        <v>107</v>
      </c>
      <c r="C8" s="16"/>
      <c r="D8" s="17"/>
      <c r="E8" s="17"/>
      <c r="F8" s="17"/>
      <c r="G8" s="16"/>
    </row>
    <row r="9" ht="19" customHeight="1" spans="1:8">
      <c r="A9" s="14">
        <v>5</v>
      </c>
      <c r="B9" s="15">
        <v>106</v>
      </c>
      <c r="C9" s="16"/>
      <c r="D9" s="17"/>
      <c r="E9" s="17"/>
      <c r="F9" s="17"/>
      <c r="G9" s="16"/>
    </row>
    <row r="10" ht="19" customHeight="1" spans="1:8">
      <c r="A10" s="14">
        <v>5.5</v>
      </c>
      <c r="B10" s="15">
        <v>99</v>
      </c>
      <c r="C10" s="16"/>
      <c r="D10" s="17"/>
      <c r="E10" s="17"/>
      <c r="F10" s="17"/>
      <c r="G10" s="16"/>
    </row>
    <row r="11" ht="19" customHeight="1" spans="1:8">
      <c r="A11" s="14">
        <v>6</v>
      </c>
      <c r="B11" s="15">
        <v>95</v>
      </c>
      <c r="C11" s="16"/>
      <c r="D11" s="17"/>
      <c r="E11" s="17"/>
      <c r="F11" s="17"/>
      <c r="G11" s="16"/>
    </row>
    <row r="12" ht="19" customHeight="1" spans="1:8">
      <c r="A12" s="14">
        <v>6.5</v>
      </c>
      <c r="B12" s="15">
        <v>91</v>
      </c>
      <c r="C12" s="16"/>
      <c r="D12" s="17"/>
      <c r="E12" s="17"/>
      <c r="F12" s="17"/>
      <c r="G12" s="16"/>
    </row>
    <row r="13" ht="19" customHeight="1" spans="1:8">
      <c r="A13" s="14">
        <v>7</v>
      </c>
      <c r="B13" s="15">
        <v>90</v>
      </c>
      <c r="C13" s="16"/>
      <c r="D13" s="17"/>
      <c r="E13" s="17"/>
      <c r="F13" s="17"/>
      <c r="G13" s="16"/>
    </row>
    <row r="14" ht="19" customHeight="1" spans="1:8">
      <c r="A14" s="14">
        <v>7.5</v>
      </c>
      <c r="B14" s="15">
        <v>87</v>
      </c>
      <c r="C14" s="16"/>
      <c r="D14" s="17"/>
      <c r="E14" s="17"/>
      <c r="F14" s="17"/>
      <c r="G14" s="16"/>
    </row>
    <row r="15" ht="19" customHeight="1" spans="1:8">
      <c r="A15" s="14">
        <v>8</v>
      </c>
      <c r="B15" s="15">
        <v>85</v>
      </c>
      <c r="C15" s="16"/>
      <c r="D15" s="17"/>
      <c r="E15" s="17"/>
      <c r="F15" s="17"/>
      <c r="G15" s="16"/>
    </row>
    <row r="16" ht="19" customHeight="1" spans="1:8">
      <c r="A16" s="14">
        <v>8.5</v>
      </c>
      <c r="B16" s="15">
        <v>83</v>
      </c>
      <c r="C16" s="16"/>
      <c r="D16" s="17"/>
      <c r="E16" s="17"/>
      <c r="F16" s="17"/>
      <c r="G16" s="16"/>
    </row>
    <row r="17" ht="19" customHeight="1" spans="1:7">
      <c r="A17" s="14">
        <v>9</v>
      </c>
      <c r="B17" s="15">
        <v>82</v>
      </c>
      <c r="C17" s="16"/>
      <c r="D17" s="17"/>
      <c r="E17" s="17"/>
      <c r="F17" s="17"/>
      <c r="G17" s="16"/>
    </row>
    <row r="18" ht="19" customHeight="1" spans="1:7">
      <c r="A18" s="14">
        <v>9.5</v>
      </c>
      <c r="B18" s="15">
        <v>78</v>
      </c>
      <c r="C18" s="16"/>
      <c r="D18" s="17"/>
      <c r="E18" s="17"/>
      <c r="F18" s="17"/>
      <c r="G18" s="16"/>
    </row>
    <row r="19" ht="19" customHeight="1" spans="1:7">
      <c r="A19" s="14">
        <v>10</v>
      </c>
      <c r="B19" s="15">
        <v>76</v>
      </c>
      <c r="C19" s="16"/>
      <c r="D19" s="17"/>
      <c r="E19" s="17"/>
      <c r="F19" s="17"/>
      <c r="G19" s="16"/>
    </row>
    <row r="20" ht="19" customHeight="1" spans="1:7">
      <c r="A20" s="14">
        <v>10.5</v>
      </c>
      <c r="B20" s="15">
        <v>75</v>
      </c>
      <c r="C20" s="18"/>
      <c r="D20" s="18"/>
      <c r="E20" s="18"/>
      <c r="F20" s="18"/>
      <c r="G20" s="18"/>
    </row>
    <row r="21" ht="19" customHeight="1" spans="1:7">
      <c r="A21" s="14">
        <v>11</v>
      </c>
      <c r="B21" s="15">
        <v>73</v>
      </c>
      <c r="C21" s="18"/>
      <c r="D21" s="18"/>
      <c r="E21" s="18"/>
      <c r="F21" s="18"/>
      <c r="G21" s="18"/>
    </row>
    <row r="22" ht="19" customHeight="1" spans="1:7">
      <c r="A22" s="14">
        <v>11.5</v>
      </c>
      <c r="B22" s="15">
        <v>72</v>
      </c>
      <c r="C22" s="18"/>
      <c r="D22" s="18"/>
      <c r="E22" s="18"/>
      <c r="F22" s="18"/>
      <c r="G22" s="18"/>
    </row>
    <row r="23" ht="19" customHeight="1" spans="1:7">
      <c r="A23" s="14">
        <v>12</v>
      </c>
      <c r="B23" s="15">
        <v>71</v>
      </c>
      <c r="C23" s="18"/>
      <c r="D23" s="18"/>
      <c r="E23" s="18"/>
      <c r="F23" s="18"/>
      <c r="G23" s="18"/>
    </row>
    <row r="24" ht="19" customHeight="1" spans="1:7">
      <c r="A24" s="14">
        <v>12.5</v>
      </c>
      <c r="B24" s="15">
        <v>72</v>
      </c>
      <c r="C24" s="18"/>
      <c r="D24" s="18"/>
      <c r="E24" s="18"/>
      <c r="F24" s="18"/>
      <c r="G24" s="18"/>
    </row>
    <row r="25" ht="19" customHeight="1" spans="1:7">
      <c r="A25" s="14">
        <v>13</v>
      </c>
      <c r="B25" s="15">
        <v>71</v>
      </c>
      <c r="C25" s="18"/>
      <c r="D25" s="18"/>
      <c r="E25" s="18"/>
      <c r="F25" s="18"/>
      <c r="G25" s="18"/>
    </row>
    <row r="26" ht="19" customHeight="1" spans="1:7">
      <c r="A26" s="14">
        <v>13.5</v>
      </c>
      <c r="B26" s="15">
        <v>71</v>
      </c>
      <c r="C26" s="18"/>
      <c r="D26" s="18"/>
      <c r="E26" s="18"/>
      <c r="F26" s="18"/>
      <c r="G26" s="18"/>
    </row>
    <row r="27" ht="19" customHeight="1" spans="1:7">
      <c r="A27" s="14">
        <v>14</v>
      </c>
      <c r="B27" s="15">
        <v>70</v>
      </c>
      <c r="C27" s="18"/>
      <c r="D27" s="18"/>
      <c r="E27" s="18"/>
      <c r="F27" s="18"/>
      <c r="G27" s="18"/>
    </row>
    <row r="28" ht="19" customHeight="1" spans="1:7">
      <c r="A28" s="14">
        <v>14.5</v>
      </c>
      <c r="B28" s="15">
        <v>69</v>
      </c>
      <c r="C28" s="18"/>
      <c r="D28" s="18"/>
      <c r="E28" s="18"/>
      <c r="F28" s="18"/>
      <c r="G28" s="18"/>
    </row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5">
    <mergeCell ref="A1:G1"/>
    <mergeCell ref="A2:G2"/>
    <mergeCell ref="A3:G3"/>
    <mergeCell ref="C4:G4"/>
    <mergeCell ref="C5:G1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"/>
    </sheetView>
  </sheetViews>
  <sheetFormatPr defaultColWidth="14" defaultRowHeight="15.2" outlineLevelCol="7"/>
  <cols>
    <col min="1" max="3" width="14" customWidth="1"/>
    <col min="4" max="4" width="13" customWidth="1"/>
    <col min="5" max="8" width="14" customWidth="1"/>
    <col min="9" max="11" width="15" customWidth="1"/>
    <col min="12" max="20" width="14" customWidth="1"/>
  </cols>
  <sheetData>
    <row r="1" ht="19" customHeight="1"/>
    <row r="2" ht="21" customHeight="1" spans="1:8">
      <c r="B2" s="1" t="s">
        <v>90</v>
      </c>
      <c r="C2" s="1" t="s">
        <v>91</v>
      </c>
      <c r="D2" s="1" t="s">
        <v>92</v>
      </c>
      <c r="F2" s="1" t="s">
        <v>93</v>
      </c>
      <c r="G2" s="1" t="s">
        <v>94</v>
      </c>
      <c r="H2" s="1" t="s">
        <v>95</v>
      </c>
    </row>
    <row r="3" ht="22" customHeight="1" spans="1:8">
      <c r="B3" s="2">
        <v>2.25</v>
      </c>
      <c r="C3" s="2">
        <v>5.51</v>
      </c>
      <c r="D3" s="2">
        <v>5.12</v>
      </c>
      <c r="F3" s="3">
        <v>5.5</v>
      </c>
      <c r="G3" s="3">
        <v>2.49</v>
      </c>
      <c r="H3" s="3">
        <v>20</v>
      </c>
    </row>
    <row r="4" ht="21" customHeight="1" spans="1:8">
      <c r="B4" s="1" t="s">
        <v>96</v>
      </c>
      <c r="C4" s="1" t="s">
        <v>97</v>
      </c>
      <c r="D4" s="1" t="s">
        <v>98</v>
      </c>
      <c r="F4" s="1" t="s">
        <v>90</v>
      </c>
      <c r="G4" s="1" t="s">
        <v>91</v>
      </c>
      <c r="H4" s="1" t="s">
        <v>92</v>
      </c>
    </row>
    <row r="5" ht="19" customHeight="1" spans="1:8">
      <c r="B5" s="4">
        <f>B3*2.54</f>
        <v>5.715</v>
      </c>
      <c r="C5" s="4">
        <f>C3*2.54</f>
        <v>13.9954</v>
      </c>
      <c r="D5" s="4">
        <f>D3*2.54</f>
        <v>13.0048</v>
      </c>
      <c r="F5" s="4">
        <f>F3/2.54</f>
        <v>2.16535433070866</v>
      </c>
      <c r="G5" s="4">
        <f>G3/2.54</f>
        <v>0.980314960629921</v>
      </c>
      <c r="H5" s="4">
        <f>H3/2.54</f>
        <v>7.8740157480315</v>
      </c>
    </row>
    <row r="6" ht="19" customHeight="1" spans="1:8">
      <c r="B6" s="1"/>
      <c r="C6" s="1"/>
      <c r="D6" s="1"/>
      <c r="F6" s="1"/>
      <c r="G6" s="1"/>
      <c r="H6" s="1"/>
    </row>
    <row r="7" ht="19" customHeight="1" spans="1:8">
      <c r="A7" s="1"/>
      <c r="B7" s="5" t="s">
        <v>99</v>
      </c>
      <c r="F7" s="5" t="s">
        <v>99</v>
      </c>
    </row>
    <row r="8" ht="19" customHeight="1" spans="1:8">
      <c r="A8" s="1"/>
      <c r="B8" s="6">
        <f>B5*C5*D5/5000</f>
        <v>0.20803443296256</v>
      </c>
      <c r="F8" s="6">
        <f>F3*G3*H3/5000</f>
        <v>0.05478</v>
      </c>
    </row>
    <row r="9" ht="19" customHeight="1"/>
    <row r="10" ht="19" customHeight="1"/>
    <row r="11" ht="19" customHeight="1" spans="1:8">
      <c r="B11" s="5" t="s">
        <v>100</v>
      </c>
      <c r="C11" s="5" t="s">
        <v>22</v>
      </c>
    </row>
    <row r="12" ht="19" customHeight="1" spans="1:8">
      <c r="B12" s="3">
        <v>9.9</v>
      </c>
      <c r="C12" s="3">
        <v>1.08</v>
      </c>
    </row>
    <row r="13" ht="19" customHeight="1" spans="1:8">
      <c r="B13" s="5" t="s">
        <v>22</v>
      </c>
      <c r="C13" s="5" t="s">
        <v>100</v>
      </c>
    </row>
    <row r="14" ht="19" customHeight="1" spans="1:8">
      <c r="B14" s="6">
        <f>ROUNDUP(B12*0.45359237,2)</f>
        <v>4.5</v>
      </c>
      <c r="C14" s="6">
        <f>ROUNDUP(C12/0.45359237,2)</f>
        <v>2.39</v>
      </c>
    </row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报价表</vt:lpstr>
      <vt:lpstr>上海UPS小货</vt:lpstr>
      <vt:lpstr>空派小货（普货）</vt:lpstr>
      <vt:lpstr>单位换算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陈鹏° Vincent Chen</cp:lastModifiedBy>
  <dcterms:created xsi:type="dcterms:W3CDTF">2026-05-02T06:12:00Z</dcterms:created>
  <dcterms:modified xsi:type="dcterms:W3CDTF">2026-07-26T12:10:28Z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86AB275E13ECD04F6E63F369EDA9846A_42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